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19416" windowHeight="10413" activeTab="0" tabRatio="600"/>
  </bookViews>
  <sheets>
    <sheet name="STUFFING REPORT" sheetId="1" r:id="rId2"/>
    <sheet name="WEIGHT LIST (SUMMARY)" sheetId="2" r:id="rId3"/>
    <sheet name="TALLY FORM" sheetId="3" r:id="rId4"/>
    <sheet name="VGM REPORT" sheetId="4" r:id="rId5"/>
    <sheet name="CTN SURVEY REPORT" sheetId="5" r:id="rId6"/>
  </sheets>
  <calcPr calcId="191028"/>
</workbook>
</file>

<file path=xl/sharedStrings.xml><?xml version="1.0" encoding="utf-8"?>
<sst xmlns="http://schemas.openxmlformats.org/spreadsheetml/2006/main" count="467" uniqueCount="122">
  <si>
    <t>CONTAINER STUFFING REPORT</t>
  </si>
  <si>
    <t>Job Ref :</t>
  </si>
  <si>
    <t>Departure from the office to loading point (time/date) :</t>
  </si>
  <si>
    <t>7:00 Hrs</t>
  </si>
  <si>
    <t xml:space="preserve">AS PER ATTACHED </t>
  </si>
  <si>
    <t>Arival (time/ date ) :</t>
  </si>
  <si>
    <t>14:30 Hrs</t>
  </si>
  <si>
    <t xml:space="preserve">Shipper: </t>
  </si>
  <si>
    <t>Buyer:</t>
  </si>
  <si>
    <t>Commodity:</t>
  </si>
  <si>
    <t>Quantity:</t>
  </si>
  <si>
    <t>Packing:</t>
  </si>
  <si>
    <t>Place of inspection:</t>
  </si>
  <si>
    <t xml:space="preserve">Vessel: </t>
  </si>
  <si>
    <t>Destination:</t>
  </si>
  <si>
    <t xml:space="preserve">Inspector's name </t>
  </si>
  <si>
    <t>Container stuffing shift total:</t>
  </si>
  <si>
    <t>1 shift</t>
  </si>
  <si>
    <t>Type of weighment(%) :</t>
  </si>
  <si>
    <t>Size of CTN:</t>
  </si>
  <si>
    <t>20 feet</t>
  </si>
  <si>
    <t>No</t>
  </si>
  <si>
    <t>Container
Number</t>
  </si>
  <si>
    <t>Condition</t>
  </si>
  <si>
    <t>Commence</t>
  </si>
  <si>
    <t>Complete</t>
  </si>
  <si>
    <t>No.of Bags</t>
  </si>
  <si>
    <t>Gross(MT)</t>
  </si>
  <si>
    <t>Tare(MT)</t>
  </si>
  <si>
    <t>Container
 Seal Number</t>
  </si>
  <si>
    <t>Key No.</t>
  </si>
  <si>
    <t>Sound</t>
  </si>
  <si>
    <t>TOTAL</t>
  </si>
  <si>
    <t>Calibration Report</t>
  </si>
  <si>
    <t>Type of equipment :</t>
  </si>
  <si>
    <t>Digital Scale</t>
  </si>
  <si>
    <t>Equipment used :</t>
  </si>
  <si>
    <t>Client</t>
  </si>
  <si>
    <t>Test by SGS inspector :</t>
  </si>
  <si>
    <t>Yes</t>
  </si>
  <si>
    <t>Calibrated :</t>
  </si>
  <si>
    <t>Test before inspector :</t>
  </si>
  <si>
    <t>Calibration report present :</t>
  </si>
  <si>
    <t>Calibration found in order:</t>
  </si>
  <si>
    <t>Test weight :</t>
  </si>
  <si>
    <t>10 kg</t>
  </si>
  <si>
    <t>Test weight No :</t>
  </si>
  <si>
    <t>WEIGHT LIST (SUMMARY)</t>
  </si>
  <si>
    <t>Shipper Name :</t>
  </si>
  <si>
    <t>Commodity :</t>
  </si>
  <si>
    <t>Place of Inspection :</t>
  </si>
  <si>
    <t>Weight %</t>
  </si>
  <si>
    <t>Shipped Bags :</t>
  </si>
  <si>
    <t>15600 Bags</t>
  </si>
  <si>
    <t>Page No.</t>
  </si>
  <si>
    <t>Weighing Bags</t>
  </si>
  <si>
    <t>Total Gross Weight</t>
  </si>
  <si>
    <t>Unit
lbs/viss/kgs</t>
  </si>
  <si>
    <t>kgs</t>
  </si>
  <si>
    <t>Per Bag Gross kgs</t>
  </si>
  <si>
    <t>Total Gross MT :</t>
  </si>
  <si>
    <t>Per Bag Tare kgs</t>
  </si>
  <si>
    <t>Total Tare MT   :</t>
  </si>
  <si>
    <t>Per Bag Net kgs</t>
  </si>
  <si>
    <t>Total Net MT     :</t>
  </si>
  <si>
    <t>Additional Bags :</t>
  </si>
  <si>
    <t>Additional Net MT :</t>
  </si>
  <si>
    <t>Grand Total Net MT :</t>
  </si>
  <si>
    <t>TALLY FORM</t>
  </si>
  <si>
    <t>NAME OF VESSEL :</t>
  </si>
  <si>
    <t>QUALITY/CROP :</t>
  </si>
  <si>
    <t>DATE &amp; SHIFT :</t>
  </si>
  <si>
    <t>BALANCE :</t>
  </si>
  <si>
    <t>SHIPPER :</t>
  </si>
  <si>
    <t>SI NUMBER :</t>
  </si>
  <si>
    <t>HATCH NO.</t>
  </si>
  <si>
    <t xml:space="preserve">BY CONTAINER </t>
  </si>
  <si>
    <t>MARKING :</t>
  </si>
  <si>
    <t xml:space="preserve">As Per Attached </t>
  </si>
  <si>
    <t>NO</t>
  </si>
  <si>
    <t>TRUCK NO./
CONTAINER NO.</t>
  </si>
  <si>
    <t>NO OF BAGS PER SLING / NO OF BAGS PER ROW</t>
  </si>
  <si>
    <r>
      <rPr>
        <b/>
        <sz val="11.0"/>
        <rFont val="Calibri"/>
        <family val="1"/>
      </rPr>
      <t xml:space="preserve">ADDITIONAL (Bags)</t>
    </r>
    <phoneticPr fontId="0" type="noConversion"/>
  </si>
  <si>
    <t>-</t>
  </si>
  <si>
    <t>Verified Gross Mass (VGM) Field Report</t>
  </si>
  <si>
    <t>Shipper :</t>
  </si>
  <si>
    <t>Place of inspection :</t>
  </si>
  <si>
    <t>Inspection Started on (Date &amp; Time)</t>
  </si>
  <si>
    <t>Date :</t>
  </si>
  <si>
    <t>Time :</t>
  </si>
  <si>
    <t>Vessel :</t>
  </si>
  <si>
    <t>Inspection Completed on (Date &amp; Time)</t>
  </si>
  <si>
    <t>Sr.</t>
  </si>
  <si>
    <t>Container Number</t>
  </si>
  <si>
    <t>Number of
Bags in Container</t>
  </si>
  <si>
    <t>Per bag Gross
Weight (kgs)</t>
  </si>
  <si>
    <t>Total Gorss
Weight of the
Cargo (kgs)</t>
  </si>
  <si>
    <t>Other Packages (kgs)</t>
  </si>
  <si>
    <t>Container Tare 
Weight (kgs)
(as declared at
the container)</t>
  </si>
  <si>
    <t>Total Weigt 
(kgs)</t>
  </si>
  <si>
    <t>SGS
Seal</t>
  </si>
  <si>
    <t>CONTAINER SURVEY REPORT</t>
  </si>
  <si>
    <t>CLIENT         :</t>
  </si>
  <si>
    <t>JOB ORDER NO:</t>
  </si>
  <si>
    <t>COMMODITY:</t>
  </si>
  <si>
    <t>LOCATION :</t>
  </si>
  <si>
    <t>QUANTITY :</t>
  </si>
  <si>
    <t>DATE :</t>
  </si>
  <si>
    <t>Sr No.</t>
  </si>
  <si>
    <t>Hole (or)
Dented</t>
  </si>
  <si>
    <t>Floor
Type</t>
  </si>
  <si>
    <t>Floor
Damage</t>
  </si>
  <si>
    <t>Free of 
Odour</t>
  </si>
  <si>
    <t>Free of 
Infestation</t>
  </si>
  <si>
    <t>Clean &amp;
Dry</t>
  </si>
  <si>
    <t>Color</t>
  </si>
  <si>
    <t>Size of 
Container</t>
  </si>
  <si>
    <t>Type of
Container</t>
  </si>
  <si>
    <t>Suitable for 
Stuffing</t>
  </si>
  <si>
    <t>Wood</t>
  </si>
  <si>
    <t>20'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</si>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</sst>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dd/mm/yyyy"/>
    <numFmt numFmtId="177" formatCode="0%"/>
    <numFmt numFmtId="178" formatCode="h:mm"/>
    <numFmt numFmtId="179" formatCode="_ &quot;￥&quot;* #,##0.00_ ;_ &quot;￥&quot;* \-#,##0.00_ ;_ &quot;￥&quot;* &quot;-&quot;??_ ;_ @_ "/>
    <numFmt numFmtId="180" formatCode="_ &quot;￥&quot;* #,##0_ ;_ &quot;￥&quot;* \-#,##0_ ;_ &quot;￥&quot;* &quot;-&quot;_ ;_ @_ "/>
    <numFmt numFmtId="181" formatCode="_ * #,##0.00_ ;_ * -#,##0.00_ ;_ * &quot;-&quot;??_ ;_ @_ "/>
    <numFmt numFmtId="182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6.0"/>
      <name val="Calibri"/>
      <family val="1"/>
      <b/>
    </font>
    <font>
      <sz val="11.0"/>
      <name val="Calibri"/>
      <family val="1"/>
      <b/>
    </font>
    <font>
      <sz val="11.0"/>
      <name val="Calibri"/>
      <family val="1"/>
      <b/>
      <u val="single"/>
    </font>
    <font>
      <sz val="12.0"/>
      <name val="Calibri"/>
      <family val="1"/>
      <b/>
    </font>
    <font>
      <sz val="14.0"/>
      <name val="Calibri"/>
      <family val="1"/>
      <b/>
    </font>
    <font>
      <sz val="16.0"/>
      <name val="Calibri"/>
      <family val="1"/>
      <b/>
    </font>
    <font>
      <sz val="11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0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1" applyFont="1" fillId="0" borderId="0" applyAlignment="1">
      <alignment vertical="center"/>
    </xf>
  </cellStyleXfs>
  <cellXfs count="154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0" borderId="0" applyAlignment="1" xfId="0">
      <alignment horizontal="center" vertical="center"/>
    </xf>
    <xf numFmtId="0" fontId="1" applyFont="1" fillId="0" borderId="1" applyBorder="1" applyAlignment="1" xfId="0">
      <alignment horizontal="left" vertical="center"/>
    </xf>
    <xf numFmtId="0" fontId="3" applyFont="1" fillId="0" borderId="2" applyBorder="1" applyAlignment="1" xfId="0">
      <alignment horizontal="center" vertical="center"/>
    </xf>
    <xf numFmtId="0" fontId="1" applyFont="1" fillId="0" borderId="3" applyBorder="1" applyAlignment="1" xfId="0">
      <alignment vertical="center"/>
    </xf>
    <xf numFmtId="0" fontId="1" applyFont="1" fillId="0" borderId="4" applyBorder="1" applyAlignment="1" xfId="0">
      <alignment horizontal="center" vertical="center"/>
    </xf>
    <xf numFmtId="176" applyNumberFormat="1" fontId="1" applyFont="1" fillId="0" borderId="5" applyBorder="1" applyAlignment="1" xfId="0">
      <alignment horizontal="left" vertical="center" indent="1"/>
    </xf>
    <xf numFmtId="0" fontId="1" applyFont="1" fillId="0" borderId="6" applyBorder="1" applyAlignment="1" xfId="0">
      <alignment horizontal="center" vertical="center"/>
    </xf>
    <xf numFmtId="0" fontId="1" applyFont="1" fillId="0" borderId="7" applyBorder="1" applyAlignment="1" xfId="0">
      <alignment vertical="center"/>
    </xf>
    <xf numFmtId="0" fontId="1" applyFont="1" fillId="0" borderId="8" applyBorder="1" applyAlignment="1" xfId="0">
      <alignment vertical="center"/>
    </xf>
    <xf numFmtId="0" fontId="1" applyFont="1" fillId="0" borderId="9" applyBorder="1" applyAlignment="1" xfId="0">
      <alignment vertical="center"/>
    </xf>
    <xf numFmtId="0" fontId="1" applyFont="1" fillId="0" borderId="10" applyBorder="1" applyAlignment="1" xfId="0">
      <alignment horizontal="left" vertical="center"/>
    </xf>
    <xf numFmtId="0" fontId="1" applyFont="1" fillId="0" borderId="11" applyBorder="1" applyAlignment="1" xfId="0">
      <alignment horizontal="left" vertical="center"/>
    </xf>
    <xf numFmtId="0" fontId="1" applyFont="1" fillId="0" borderId="12" applyBorder="1" applyAlignment="1" xfId="0">
      <alignment horizontal="left" vertical="center" wrapText="1"/>
    </xf>
    <xf numFmtId="0" fontId="1" applyFont="1" fillId="0" borderId="13" applyBorder="1" applyAlignment="1" xfId="0">
      <alignment horizontal="left" vertical="center"/>
    </xf>
    <xf numFmtId="0" fontId="1" applyFont="1" fillId="0" borderId="0" applyAlignment="1" xfId="0">
      <alignment horizontal="left" vertical="center"/>
    </xf>
    <xf numFmtId="0" fontId="3" applyFont="1" fillId="0" borderId="14" applyBorder="1" applyAlignment="1" xfId="0">
      <alignment vertical="center"/>
    </xf>
    <xf numFmtId="0" fontId="0" fillId="0" borderId="15" applyBorder="1" applyAlignment="1" xfId="0">
      <alignment horizontal="center" vertical="center"/>
    </xf>
    <xf numFmtId="177" applyNumberFormat="1" fontId="1" applyFont="1" fillId="0" borderId="16" applyBorder="1" applyAlignment="1" xfId="0">
      <alignment horizontal="center" vertical="center"/>
    </xf>
    <xf numFmtId="0" fontId="3" applyFont="1" fillId="0" borderId="17" applyBorder="1" applyAlignment="1" xfId="0">
      <alignment horizontal="center" vertical="center"/>
    </xf>
    <xf numFmtId="0" fontId="3" applyFont="1" fillId="0" borderId="18" applyBorder="1" applyAlignment="1" xfId="0">
      <alignment horizontal="center" vertical="center" wrapText="1"/>
    </xf>
    <xf numFmtId="0" fontId="1" applyFont="1" fillId="0" borderId="19" applyBorder="1" applyAlignment="1" xfId="0">
      <alignment horizontal="left" vertical="center"/>
    </xf>
    <xf numFmtId="0" fontId="1" applyFont="1" fillId="0" borderId="20" applyBorder="1" applyAlignment="1" xfId="0">
      <alignment vertical="center"/>
    </xf>
    <xf numFmtId="0" fontId="1" applyFont="1" fillId="0" borderId="21" applyBorder="1" applyAlignment="1" xfId="0">
      <alignment horizontal="center" vertical="center"/>
    </xf>
    <xf numFmtId="0" fontId="3" applyFont="1" fillId="0" borderId="22" applyBorder="1" applyAlignment="1" xfId="0">
      <alignment horizontal="center" vertical="center"/>
    </xf>
    <xf numFmtId="0" fontId="1" applyFont="1" fillId="0" borderId="23" applyBorder="1" applyAlignment="1" xfId="0">
      <alignment vertical="center"/>
    </xf>
    <xf numFmtId="0" fontId="1" applyFont="1" fillId="0" borderId="24" applyBorder="1" applyAlignment="1" xfId="0">
      <alignment vertical="center"/>
    </xf>
    <xf numFmtId="0" fontId="1" applyFont="1" fillId="0" borderId="25" applyBorder="1" applyAlignment="1" xfId="0">
      <alignment horizontal="center" vertical="center"/>
    </xf>
    <xf numFmtId="0" fontId="4" applyFont="1" fillId="0" borderId="0" applyAlignment="1" xfId="0">
      <alignment vertical="center"/>
    </xf>
    <xf numFmtId="0" fontId="1" applyFont="1" fillId="0" borderId="26" applyBorder="1" applyAlignment="1" xfId="0">
      <alignment horizontal="center" vertical="center"/>
    </xf>
    <xf numFmtId="0" fontId="1" applyFont="1" fillId="0" borderId="27" applyBorder="1" applyAlignment="1" xfId="0">
      <alignment vertical="center"/>
    </xf>
    <xf numFmtId="0" fontId="1" applyFont="1" fillId="0" borderId="28" applyBorder="1" applyAlignment="1" xfId="0">
      <alignment horizontal="left" vertical="center"/>
    </xf>
    <xf numFmtId="0" fontId="5" applyFont="1" fillId="0" borderId="0" applyAlignment="1" xfId="0">
      <alignment horizontal="center" vertical="center"/>
    </xf>
    <xf numFmtId="0" fontId="1" applyFont="1" fillId="0" borderId="29" applyBorder="1" applyAlignment="1" xfId="0">
      <alignment vertical="center"/>
    </xf>
    <xf numFmtId="0" fontId="1" applyFont="1" fillId="0" borderId="30" applyBorder="1" applyAlignment="1" xfId="0">
      <alignment horizontal="left" vertical="center"/>
    </xf>
    <xf numFmtId="0" fontId="1" applyFont="1" fillId="0" borderId="31" applyBorder="1" applyAlignment="1" xfId="0">
      <alignment vertical="center"/>
    </xf>
    <xf numFmtId="0" fontId="1" applyFont="1" fillId="0" borderId="32" applyBorder="1" applyAlignment="1" xfId="0">
      <alignment vertical="center"/>
    </xf>
    <xf numFmtId="177" applyNumberFormat="1" fontId="1" applyFont="1" fillId="0" borderId="33" applyBorder="1" applyAlignment="1" xfId="0">
      <alignment horizontal="left" vertical="center"/>
    </xf>
    <xf numFmtId="0" fontId="1" applyFont="1" fillId="0" borderId="34" applyBorder="1" applyAlignment="1" xfId="0">
      <alignment horizontal="right" vertical="center"/>
    </xf>
    <xf numFmtId="0" fontId="1" applyFont="1" fillId="0" borderId="35" applyBorder="1" applyAlignment="1" xfId="0">
      <alignment horizontal="right" vertical="center"/>
    </xf>
    <xf numFmtId="0" fontId="1" applyFont="1" fillId="0" borderId="36" applyBorder="1" applyAlignment="1" xfId="0">
      <alignment horizontal="right" vertical="center"/>
    </xf>
    <xf numFmtId="0" fontId="6" applyFont="1" fillId="0" borderId="0" applyAlignment="1" xfId="0">
      <alignment horizontal="center" vertical="center"/>
    </xf>
    <xf numFmtId="176" applyNumberFormat="1" fontId="1" applyFont="1" fillId="0" borderId="37" applyBorder="1" applyAlignment="1" xfId="0">
      <alignment horizontal="left" vertical="center" indent="1"/>
    </xf>
    <xf numFmtId="176" applyNumberFormat="1" fontId="1" applyFont="1" fillId="0" borderId="38" applyBorder="1" applyAlignment="1" xfId="0">
      <alignment horizontal="left" vertical="center" indent="1"/>
    </xf>
    <xf numFmtId="0" fontId="1" applyFont="1" fillId="0" borderId="39" applyBorder="1" applyAlignment="1" xfId="0">
      <alignment horizontal="center" vertical="center"/>
    </xf>
    <xf numFmtId="0" fontId="3" applyFont="1" fillId="0" borderId="40" applyBorder="1" applyAlignment="1" xfId="0">
      <alignment horizontal="center" vertical="center" wrapText="1"/>
    </xf>
    <xf numFmtId="0" fontId="3" applyFont="1" fillId="0" borderId="41" applyBorder="1" applyAlignment="1" xfId="0">
      <alignment horizontal="center" vertical="center"/>
    </xf>
    <xf numFmtId="0" fontId="1" applyFont="1" fillId="0" borderId="42" applyBorder="1" applyAlignment="1" xfId="0">
      <alignment vertical="center"/>
    </xf>
    <xf numFmtId="0" fontId="1" applyFont="1" fillId="0" borderId="43" applyBorder="1" applyAlignment="1" xfId="0">
      <alignment horizontal="center" vertical="center"/>
    </xf>
    <xf numFmtId="0" fontId="1" applyFont="1" fillId="0" borderId="44" applyBorder="1" applyAlignment="1" xfId="0">
      <alignment horizontal="center" vertical="center"/>
    </xf>
    <xf numFmtId="0" fontId="1" applyFont="1" fillId="0" borderId="45" applyBorder="1" applyAlignment="1" xfId="0">
      <alignment horizontal="center" vertical="center"/>
    </xf>
    <xf numFmtId="0" fontId="1" applyFont="1" fillId="0" borderId="46" applyBorder="1" applyAlignment="1" xfId="0">
      <alignment horizontal="center" vertical="center"/>
    </xf>
    <xf numFmtId="0" fontId="3" applyFont="1" fillId="0" borderId="47" applyBorder="1" applyAlignment="1" xfId="0">
      <alignment horizontal="center" vertical="center"/>
    </xf>
    <xf numFmtId="0" fontId="1" applyFont="1" fillId="0" borderId="0" applyAlignment="1" xfId="0">
      <alignment horizontal="center" vertical="center"/>
    </xf>
    <xf numFmtId="176" applyNumberFormat="1" fontId="1" applyFont="1" fillId="0" borderId="48" applyBorder="1" applyAlignment="1" xfId="0">
      <alignment horizontal="center" vertical="center"/>
    </xf>
    <xf numFmtId="178" applyNumberFormat="1" fontId="1" applyFont="1" fillId="0" borderId="49" applyBorder="1" applyAlignment="1" xfId="0">
      <alignment horizontal="center" vertical="center"/>
    </xf>
    <xf numFmtId="0" fontId="1" applyFont="1" fillId="0" borderId="50" applyBorder="1" applyAlignment="1" xfId="0">
      <alignment horizontal="center" vertical="center" wrapText="1"/>
    </xf>
    <xf numFmtId="0" fontId="1" applyFont="1" fillId="0" borderId="51" applyBorder="1" applyAlignment="1" xfId="0">
      <alignment horizontal="center" vertical="center" wrapText="1"/>
    </xf>
    <xf numFmtId="0" fontId="1" applyFont="1" fillId="0" borderId="52" applyBorder="1" applyAlignment="1" xfId="0">
      <alignment horizontal="center" vertical="center" wrapText="1"/>
    </xf>
    <xf numFmtId="0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0" fillId="0" borderId="0" applyAlignment="1" xfId="0">
      <alignment vertical="center"/>
    </xf>
    <xf numFmtId="0" fontId="7" applyFont="1" fillId="0" borderId="0" applyAlignment="1" xfId="0">
      <alignment horizontal="center" vertical="center"/>
    </xf>
    <xf numFmtId="0" fontId="0" fillId="0" borderId="53" applyBorder="1" applyAlignment="1" xfId="0">
      <alignment horizontal="left" vertical="center"/>
    </xf>
    <xf numFmtId="0" fontId="0" fillId="0" borderId="54" applyBorder="1" applyAlignment="1" xfId="0">
      <alignment vertical="center"/>
    </xf>
    <xf numFmtId="0" fontId="0" fillId="0" borderId="55" applyBorder="1" applyAlignment="1" xfId="0">
      <alignment vertical="center"/>
    </xf>
    <xf numFmtId="0" fontId="0" fillId="0" borderId="56" applyBorder="1" applyAlignment="1" xfId="0">
      <alignment horizontal="left" vertical="center"/>
    </xf>
    <xf numFmtId="0" fontId="0" fillId="0" borderId="57" applyBorder="1" applyAlignment="1" xfId="0">
      <alignment vertical="center"/>
    </xf>
    <xf numFmtId="0" fontId="0" fillId="0" borderId="58" applyBorder="1" applyAlignment="1" xfId="0">
      <alignment horizontal="center" vertical="center"/>
    </xf>
    <xf numFmtId="0" fontId="0" fillId="0" borderId="59" applyBorder="1" applyAlignment="1" xfId="0">
      <alignment horizontal="center" vertical="center"/>
    </xf>
    <xf numFmtId="0" fontId="0" fillId="0" borderId="60" applyBorder="1" applyAlignment="1" xfId="0">
      <alignment horizontal="left" vertical="center"/>
    </xf>
    <xf numFmtId="0" fontId="0" fillId="0" borderId="61" applyBorder="1" applyAlignment="1" xfId="0">
      <alignment horizontal="left" vertical="center" wrapText="1"/>
    </xf>
    <xf numFmtId="0" fontId="8" applyFont="1" fillId="0" borderId="62" applyBorder="1" applyAlignment="1" xfId="0">
      <alignment vertical="center"/>
    </xf>
    <xf numFmtId="0" fontId="0" fillId="0" borderId="63" applyBorder="1" applyAlignment="1" xfId="0">
      <alignment horizontal="left" vertical="center"/>
    </xf>
    <xf numFmtId="0" fontId="0" fillId="0" borderId="64" applyBorder="1" applyAlignment="1" xfId="0">
      <alignment vertical="center"/>
    </xf>
    <xf numFmtId="0" fontId="0" fillId="0" borderId="65" applyBorder="1" applyAlignment="1" xfId="0">
      <alignment vertical="center"/>
    </xf>
    <xf numFmtId="0" fontId="8" applyFont="1" fillId="0" borderId="66" applyBorder="1" applyAlignment="1" xfId="0">
      <alignment horizontal="center" vertical="center"/>
    </xf>
    <xf numFmtId="0" fontId="0" fillId="0" borderId="0" applyAlignment="1" xfId="0">
      <alignment horizontal="left" vertical="center"/>
    </xf>
    <xf numFmtId="0" fontId="0" fillId="0" borderId="67" applyBorder="1" applyAlignment="1" xfId="0">
      <alignment horizontal="left" vertical="center"/>
    </xf>
    <xf numFmtId="176" applyNumberFormat="1" fontId="0" fillId="0" borderId="68" applyBorder="1" applyAlignment="1" xfId="0">
      <alignment horizontal="left" vertical="center" indent="1"/>
    </xf>
    <xf numFmtId="0" fontId="8" applyFont="1" fillId="0" borderId="69" applyBorder="1" applyAlignment="1" xfId="0">
      <alignment horizontal="center" vertical="center"/>
    </xf>
    <xf numFmtId="0" fontId="0" fillId="0" borderId="70" applyBorder="1" applyAlignment="1" xfId="0">
      <alignment vertical="center"/>
    </xf>
    <xf numFmtId="0" fontId="0" fillId="0" borderId="71" applyBorder="1" applyAlignment="1" xfId="0">
      <alignment vertical="center"/>
    </xf>
    <xf numFmtId="0" fontId="0" fillId="0" borderId="72" applyBorder="1" applyAlignment="1" xfId="0">
      <alignment vertical="center"/>
    </xf>
    <xf numFmtId="0" fontId="0" fillId="0" borderId="73" applyBorder="1" applyAlignment="1" xfId="0">
      <alignment horizontal="center" vertical="center"/>
    </xf>
    <xf numFmtId="0" fontId="9" applyFont="1" fillId="2" applyFill="1" borderId="0" applyAlignment="1" xfId="0">
      <alignment vertical="center"/>
    </xf>
    <xf numFmtId="0" fontId="10" applyFont="1" fillId="3" applyFill="1" borderId="0" applyAlignment="1" xfId="0">
      <alignment vertical="center"/>
    </xf>
    <xf numFmtId="0" fontId="11" applyFont="1" fillId="4" applyFill="1" borderId="0" applyAlignment="1" xfId="0">
      <alignment vertical="center"/>
    </xf>
    <xf numFmtId="0" fontId="12" applyFont="1" fillId="5" applyFill="1" borderId="74" applyBorder="1" applyAlignment="1" xfId="0">
      <alignment vertical="center"/>
    </xf>
    <xf numFmtId="0" fontId="13" applyFont="1" fillId="6" applyFill="1" borderId="75" applyBorder="1" applyAlignment="1" xfId="0">
      <alignment vertical="center"/>
    </xf>
    <xf numFmtId="0" fontId="14" applyFont="1" fillId="0" borderId="0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76" applyBorder="1" applyAlignment="1" xfId="0">
      <alignment vertical="center"/>
    </xf>
    <xf numFmtId="0" fontId="17" applyFont="1" fillId="5" applyFill="1" borderId="77" applyBorder="1" applyAlignment="1" xfId="0">
      <alignment vertical="center"/>
    </xf>
    <xf numFmtId="0" fontId="18" applyFont="1" fillId="7" applyFill="1" borderId="78" applyBorder="1" applyAlignment="1" xfId="0">
      <alignment vertical="center"/>
    </xf>
    <xf numFmtId="0" fontId="1" applyFont="1" fillId="8" applyFill="1" borderId="79" applyBorder="1" applyAlignment="1" xfId="0">
      <alignment vertical="center"/>
    </xf>
    <xf numFmtId="0" fontId="19" applyFont="1" fillId="0" borderId="0" applyAlignment="1" xfId="0">
      <alignment vertical="center"/>
    </xf>
    <xf numFmtId="0" fontId="20" applyFont="1" fillId="0" borderId="80" applyBorder="1" applyAlignment="1" xfId="0">
      <alignment vertical="center"/>
    </xf>
    <xf numFmtId="0" fontId="21" applyFont="1" fillId="0" borderId="81" applyBorder="1" applyAlignment="1" xfId="0">
      <alignment vertical="center"/>
    </xf>
    <xf numFmtId="0" fontId="22" applyFont="1" fillId="0" borderId="82" applyBorder="1" applyAlignment="1" xfId="0">
      <alignment vertical="center"/>
    </xf>
    <xf numFmtId="0" fontId="22" applyFont="1" fillId="0" borderId="0" applyAlignment="1" xfId="0">
      <alignment vertical="center"/>
    </xf>
    <xf numFmtId="0" fontId="23" applyFont="1" fillId="0" borderId="83" applyBorder="1" applyAlignment="1" xfId="0">
      <alignment vertical="center"/>
    </xf>
    <xf numFmtId="0" fontId="24" applyFont="1" fillId="9" applyFill="1" borderId="0" applyAlignment="1" xfId="0">
      <alignment vertical="center"/>
    </xf>
    <xf numFmtId="0" fontId="24" applyFont="1" fillId="10" applyFill="1" borderId="0" applyAlignment="1" xfId="0">
      <alignment vertical="center"/>
    </xf>
    <xf numFmtId="0" fontId="24" applyFont="1" fillId="11" applyFill="1" borderId="0" applyAlignment="1" xfId="0">
      <alignment vertical="center"/>
    </xf>
    <xf numFmtId="0" fontId="24" applyFont="1" fillId="12" applyFill="1" borderId="0" applyAlignment="1" xfId="0">
      <alignment vertical="center"/>
    </xf>
    <xf numFmtId="0" fontId="24" applyFont="1" fillId="13" applyFill="1" borderId="0" applyAlignment="1" xfId="0">
      <alignment vertical="center"/>
    </xf>
    <xf numFmtId="0" fontId="24" applyFont="1" fillId="14" applyFill="1" borderId="0" applyAlignment="1" xfId="0">
      <alignment vertical="center"/>
    </xf>
    <xf numFmtId="0" fontId="24" applyFont="1" fillId="15" applyFill="1" borderId="0" applyAlignment="1" xfId="0">
      <alignment vertical="center"/>
    </xf>
    <xf numFmtId="0" fontId="24" applyFont="1" fillId="16" applyFill="1" borderId="0" applyAlignment="1" xfId="0">
      <alignment vertical="center"/>
    </xf>
    <xf numFmtId="0" fontId="24" applyFont="1" fillId="17" applyFill="1" borderId="0" applyAlignment="1" xfId="0">
      <alignment vertical="center"/>
    </xf>
    <xf numFmtId="0" fontId="24" applyFont="1" fillId="18" applyFill="1" borderId="0" applyAlignment="1" xfId="0">
      <alignment vertical="center"/>
    </xf>
    <xf numFmtId="0" fontId="24" applyFont="1" fillId="19" applyFill="1" borderId="0" applyAlignment="1" xfId="0">
      <alignment vertical="center"/>
    </xf>
    <xf numFmtId="0" fontId="24" applyFont="1" fillId="20" applyFill="1" borderId="0" applyAlignment="1" xfId="0">
      <alignment vertical="center"/>
    </xf>
    <xf numFmtId="0" fontId="25" applyFont="1" fillId="21" applyFill="1" borderId="0" applyAlignment="1" xfId="0">
      <alignment vertical="center"/>
    </xf>
    <xf numFmtId="0" fontId="25" applyFont="1" fillId="22" applyFill="1" borderId="0" applyAlignment="1" xfId="0">
      <alignment vertical="center"/>
    </xf>
    <xf numFmtId="0" fontId="25" applyFont="1" fillId="23" applyFill="1" borderId="0" applyAlignment="1" xfId="0">
      <alignment vertical="center"/>
    </xf>
    <xf numFmtId="0" fontId="25" applyFont="1" fillId="24" applyFill="1" borderId="0" applyAlignment="1" xfId="0">
      <alignment vertical="center"/>
    </xf>
    <xf numFmtId="0" fontId="25" applyFont="1" fillId="25" applyFill="1" borderId="0" applyAlignment="1" xfId="0">
      <alignment vertical="center"/>
    </xf>
    <xf numFmtId="0" fontId="25" applyFont="1" fillId="26" applyFill="1" borderId="0" applyAlignment="1" xfId="0">
      <alignment vertical="center"/>
    </xf>
    <xf numFmtId="0" fontId="25" applyFont="1" fillId="27" applyFill="1" borderId="0" applyAlignment="1" xfId="0">
      <alignment vertical="center"/>
    </xf>
    <xf numFmtId="0" fontId="25" applyFont="1" fillId="28" applyFill="1" borderId="0" applyAlignment="1" xfId="0">
      <alignment vertical="center"/>
    </xf>
    <xf numFmtId="0" fontId="25" applyFont="1" fillId="29" applyFill="1" borderId="0" applyAlignment="1" xfId="0">
      <alignment vertical="center"/>
    </xf>
    <xf numFmtId="0" fontId="25" applyFont="1" fillId="30" applyFill="1" borderId="0" applyAlignment="1" xfId="0">
      <alignment vertical="center"/>
    </xf>
    <xf numFmtId="0" fontId="25" applyFont="1" fillId="31" applyFill="1" borderId="0" applyAlignment="1" xfId="0">
      <alignment vertical="center"/>
    </xf>
    <xf numFmtId="0" fontId="25" applyFont="1" fillId="32" applyFill="1" borderId="0" applyAlignment="1" xfId="0">
      <alignment vertical="center"/>
    </xf>
    <xf numFmtId="177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182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5" applyFont="1" fillId="0" borderId="0" applyAlignment="1" xfId="0">
      <alignment horizontal="center" vertical="center"/>
    </xf>
    <xf numFmtId="177" applyNumberFormat="1" fontId="1" applyFont="1" fillId="0" borderId="84" applyBorder="1" applyAlignment="1" xfId="0">
      <alignment horizontal="left" vertical="center"/>
    </xf>
    <xf numFmtId="0" fontId="1" applyFont="1" fillId="0" borderId="85" applyBorder="1" applyAlignment="1" xfId="0">
      <alignment horizontal="right" vertical="center"/>
    </xf>
    <xf numFmtId="0" fontId="1" applyFont="1" fillId="0" borderId="86" applyBorder="1" applyAlignment="1" xfId="0">
      <alignment horizontal="right" vertical="center"/>
    </xf>
    <xf numFmtId="0" fontId="1" applyFont="1" fillId="0" borderId="87" applyBorder="1" applyAlignment="1" xfId="0">
      <alignment horizontal="right" vertical="center"/>
    </xf>
    <xf numFmtId="0" fontId="1" applyFont="1" fillId="0" borderId="88" applyBorder="1" applyAlignment="1" xfId="0">
      <alignment vertical="center"/>
    </xf>
    <xf numFmtId="0" fontId="1" applyFont="1" fillId="0" borderId="89" applyBorder="1" applyAlignment="1" xfId="0">
      <alignment vertical="center"/>
    </xf>
    <xf numFmtId="0" fontId="1" applyFont="1" fillId="0" borderId="90" applyBorder="1" applyAlignment="1" xfId="0">
      <alignment vertical="center"/>
    </xf>
    <xf numFmtId="0" fontId="1" applyFont="1" fillId="0" borderId="91" applyBorder="1" applyAlignment="1" xfId="0">
      <alignment horizontal="left" vertical="center"/>
    </xf>
    <xf numFmtId="0" fontId="6" applyFont="1" fillId="0" borderId="0" applyAlignment="1" xfId="0">
      <alignment horizontal="center" vertical="center"/>
    </xf>
    <xf numFmtId="0" fontId="1" applyFont="1" fillId="0" borderId="92" applyBorder="1" applyAlignment="1" xfId="0">
      <alignment vertical="center"/>
    </xf>
    <xf numFmtId="0" fontId="3" applyFont="1" fillId="0" borderId="93" applyBorder="1" applyAlignment="1" xfId="0">
      <alignment horizontal="center" vertical="center"/>
    </xf>
    <xf numFmtId="0" fontId="3" applyFont="1" fillId="0" borderId="94" applyBorder="1" applyAlignment="1" xfId="0">
      <alignment horizontal="center" vertical="center" wrapText="1"/>
    </xf>
    <xf numFmtId="0" fontId="3" applyFont="1" fillId="0" borderId="95" applyBorder="1" applyAlignment="1" xfId="0">
      <alignment horizontal="center" vertical="center"/>
    </xf>
    <xf numFmtId="0" fontId="3" applyFont="1" fillId="0" borderId="96" applyBorder="1" applyAlignment="1" xfId="0">
      <alignment horizontal="center" vertical="center" wrapText="1"/>
    </xf>
    <xf numFmtId="176" applyNumberFormat="1" fontId="1" applyFont="1" fillId="0" borderId="97" applyBorder="1" applyAlignment="1" xfId="0">
      <alignment horizontal="left" vertical="center" indent="1"/>
    </xf>
    <xf numFmtId="176" applyNumberFormat="1" fontId="1" applyFont="1" fillId="0" borderId="98" applyBorder="1" applyAlignment="1" xfId="0">
      <alignment horizontal="left" vertical="center" indent="1"/>
    </xf>
    <xf numFmtId="0" fontId="1" applyFont="1" fillId="0" borderId="99" applyBorder="1" applyAlignment="1" xfId="0">
      <alignment horizontal="center" vertical="center"/>
    </xf>
    <xf numFmtId="0" fontId="1" applyFont="1" fillId="0" borderId="100" applyBorder="1" applyAlignment="1" xfId="0">
      <alignment horizontal="center" vertical="center" wrapText="1"/>
    </xf>
    <xf numFmtId="0" fontId="1" applyFont="1" fillId="0" borderId="101" applyBorder="1" applyAlignment="1" xfId="0">
      <alignment horizontal="center"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58"/>
  <sheetViews>
    <sheetView tabSelected="1" zoomScale="52" zoomScaleNormal="52" topLeftCell="D1" workbookViewId="0">
      <selection activeCell="F7" activeCellId="0" sqref="F7:H7"/>
    </sheetView>
  </sheetViews>
  <sheetFormatPr defaultRowHeight="15.0" customHeight="1" defaultColWidth="13.0" x14ac:dyDescent="0.15"/>
  <cols>
    <col min="1" max="1" width="3.75" customWidth="1" style="1"/>
    <col min="2" max="2" width="19.25" customWidth="1" style="1"/>
    <col min="3" max="3" width="8.75" customWidth="1" style="1"/>
    <col min="4" max="4" width="13.5" customWidth="1" style="1"/>
    <col min="5" max="5" width="12.125" customWidth="1" style="1"/>
    <col min="6" max="6" width="12.375" customWidth="1" style="1"/>
    <col min="7" max="7" width="11.375" customWidth="1" style="1"/>
    <col min="8" max="8" width="10.5" customWidth="1" style="1"/>
    <col min="9" max="9" width="12.0" customWidth="1" style="1"/>
    <col min="10" max="11" width="8.75" customWidth="1" style="1"/>
  </cols>
  <sheetData>
    <row r="2" spans="1:10" ht="21.0" x14ac:dyDescent="0.15">
      <c r="A2" s="63" t="s">
        <v>0</v>
      </c>
      <c r="B2" s="62"/>
      <c r="C2" s="62"/>
      <c r="D2" s="62"/>
      <c r="E2" s="62"/>
      <c r="F2" s="62"/>
      <c r="G2" s="62"/>
      <c r="H2" s="62"/>
      <c r="I2" s="62"/>
      <c r="J2" s="62"/>
    </row>
    <row r="5" spans="1:10" ht="18.0" customHeight="1" x14ac:dyDescent="0.15">
      <c r="A5" s="67" t="s">
        <v>1</v>
      </c>
      <c r="B5" s="67"/>
      <c r="C5" s="67"/>
      <c r="D5" s="67"/>
      <c r="E5" s="67"/>
      <c r="F5" s="67"/>
      <c r="G5" s="67"/>
      <c r="H5" s="67"/>
      <c r="I5" s="81"/>
      <c r="J5" s="66"/>
    </row>
    <row r="6" spans="1:10" ht="18.0" customHeight="1" x14ac:dyDescent="0.15">
      <c r="A6" s="67" t="s">
        <v>2</v>
      </c>
      <c r="B6" s="67"/>
      <c r="C6" s="67"/>
      <c r="D6" s="67"/>
      <c r="E6" s="6" t="s">
        <v>3</v>
      </c>
      <c r="F6" s="80">
        <v>45784.0</v>
      </c>
      <c r="G6" s="80"/>
      <c r="H6" s="80"/>
      <c r="I6" s="85" t="s">
        <v>4</v>
      </c>
      <c r="J6" s="84"/>
    </row>
    <row r="7" spans="1:10" ht="18.0" customHeight="1" x14ac:dyDescent="0.15">
      <c r="A7" s="67" t="s">
        <v>5</v>
      </c>
      <c r="B7" s="67"/>
      <c r="C7" s="67"/>
      <c r="D7" s="67"/>
      <c r="E7" s="6" t="s">
        <v>6</v>
      </c>
      <c r="F7" s="80"/>
      <c r="G7" s="80"/>
      <c r="H7" s="80"/>
      <c r="I7" s="83"/>
      <c r="J7" s="82"/>
    </row>
    <row r="8" spans="1:10" ht="18.0" customHeight="1" x14ac:dyDescent="0.15">
      <c r="A8" s="67" t="s">
        <v>7</v>
      </c>
      <c r="B8" s="67"/>
      <c r="C8" s="67"/>
      <c r="D8" s="67"/>
      <c r="E8" s="67"/>
      <c r="F8" s="67"/>
      <c r="G8" s="67"/>
      <c r="H8" s="67"/>
      <c r="I8" s="83"/>
      <c r="J8" s="82"/>
    </row>
    <row r="9" spans="1:10" ht="18.0" customHeight="1" x14ac:dyDescent="0.15">
      <c r="A9" s="67" t="s">
        <v>8</v>
      </c>
      <c r="B9" s="67"/>
      <c r="C9" s="67"/>
      <c r="D9" s="67"/>
      <c r="E9" s="67"/>
      <c r="F9" s="67"/>
      <c r="G9" s="67"/>
      <c r="H9" s="67"/>
      <c r="I9" s="83"/>
      <c r="J9" s="82"/>
    </row>
    <row r="10" spans="1:10" ht="18.0" customHeight="1" x14ac:dyDescent="0.15">
      <c r="A10" s="67" t="s">
        <v>9</v>
      </c>
      <c r="B10" s="67"/>
      <c r="C10" s="67"/>
      <c r="D10" s="67"/>
      <c r="E10" s="67"/>
      <c r="F10" s="67"/>
      <c r="G10" s="67"/>
      <c r="H10" s="67"/>
      <c r="I10" s="83"/>
      <c r="J10" s="82"/>
    </row>
    <row r="11" spans="1:10" ht="18.0" customHeight="1" x14ac:dyDescent="0.15">
      <c r="A11" s="67" t="s">
        <v>10</v>
      </c>
      <c r="B11" s="67"/>
      <c r="C11" s="67"/>
      <c r="D11" s="67"/>
      <c r="E11" s="67"/>
      <c r="F11" s="67"/>
      <c r="G11" s="67"/>
      <c r="H11" s="67"/>
      <c r="I11" s="83"/>
      <c r="J11" s="82"/>
    </row>
    <row r="12" spans="1:10" ht="18.0" customHeight="1" x14ac:dyDescent="0.15">
      <c r="A12" s="67" t="s">
        <v>11</v>
      </c>
      <c r="B12" s="67"/>
      <c r="C12" s="67"/>
      <c r="D12" s="67"/>
      <c r="E12" s="79"/>
      <c r="F12" s="79"/>
      <c r="G12" s="79"/>
      <c r="H12" s="79"/>
      <c r="I12" s="83"/>
      <c r="J12" s="82"/>
    </row>
    <row r="13" spans="1:10" ht="18.0" customHeight="1" x14ac:dyDescent="0.15">
      <c r="A13" s="67" t="s">
        <v>12</v>
      </c>
      <c r="B13" s="67"/>
      <c r="C13" s="67"/>
      <c r="D13" s="67"/>
      <c r="E13" s="64"/>
      <c r="F13" s="64"/>
      <c r="G13" s="64"/>
      <c r="H13" s="64"/>
      <c r="I13" s="64"/>
      <c r="J13" s="64"/>
    </row>
    <row r="14" spans="1:10" ht="18.0" customHeight="1" x14ac:dyDescent="0.15">
      <c r="A14" s="67" t="s">
        <v>13</v>
      </c>
      <c r="B14" s="67"/>
      <c r="C14" s="67"/>
      <c r="D14" s="67"/>
      <c r="E14" s="64"/>
      <c r="F14" s="64"/>
      <c r="G14" s="64"/>
      <c r="H14" s="64"/>
      <c r="I14" s="64"/>
      <c r="J14" s="64"/>
    </row>
    <row r="15" spans="1:10" ht="18.0" customHeight="1" x14ac:dyDescent="0.15">
      <c r="A15" s="67" t="s">
        <v>14</v>
      </c>
      <c r="B15" s="67"/>
      <c r="C15" s="67"/>
      <c r="D15" s="67"/>
      <c r="E15" s="64"/>
      <c r="F15" s="64"/>
      <c r="G15" s="64"/>
      <c r="H15" s="64"/>
      <c r="I15" s="64"/>
      <c r="J15" s="64"/>
    </row>
    <row r="16" spans="1:10" ht="18.0" customHeight="1" x14ac:dyDescent="0.15">
      <c r="A16" s="67" t="s">
        <v>15</v>
      </c>
      <c r="B16" s="67"/>
      <c r="C16" s="67"/>
      <c r="D16" s="67"/>
      <c r="E16" s="72"/>
      <c r="F16" s="71"/>
      <c r="G16" s="71"/>
      <c r="H16" s="71"/>
      <c r="I16" s="71"/>
      <c r="J16" s="71"/>
    </row>
    <row r="17" spans="1:10" ht="21.95" customHeight="1" x14ac:dyDescent="0.15">
      <c r="A17" s="78"/>
      <c r="B17" s="62"/>
      <c r="C17" s="62"/>
      <c r="D17" s="62"/>
      <c r="E17" s="62"/>
      <c r="F17" s="78"/>
      <c r="G17" s="62"/>
      <c r="H17" s="62"/>
      <c r="I17" s="62"/>
      <c r="J17" s="62"/>
    </row>
    <row r="18" spans="1:10" x14ac:dyDescent="0.15">
      <c r="A18" s="73" t="s">
        <v>16</v>
      </c>
      <c r="B18" s="73"/>
      <c r="C18" s="73"/>
      <c r="D18" s="18" t="s">
        <v>17</v>
      </c>
      <c r="E18" s="73" t="s">
        <v>18</v>
      </c>
      <c r="F18" s="73"/>
      <c r="G18" s="19">
        <v>0.1</v>
      </c>
      <c r="H18" s="17" t="s">
        <v>19</v>
      </c>
      <c r="I18" s="70" t="s">
        <v>20</v>
      </c>
      <c r="J18" s="66"/>
    </row>
    <row r="20" spans="1:10" ht="30.0" customHeight="1" x14ac:dyDescent="0.15">
      <c r="A20" s="20" t="s">
        <v>21</v>
      </c>
      <c r="B20" s="21" t="s">
        <v>22</v>
      </c>
      <c r="C20" s="20" t="s">
        <v>23</v>
      </c>
      <c r="D20" s="20" t="s">
        <v>24</v>
      </c>
      <c r="E20" s="20" t="s">
        <v>25</v>
      </c>
      <c r="F20" s="20" t="s">
        <v>26</v>
      </c>
      <c r="G20" s="20" t="s">
        <v>27</v>
      </c>
      <c r="H20" s="20" t="s">
        <v>28</v>
      </c>
      <c r="I20" s="21" t="s">
        <v>29</v>
      </c>
      <c r="J20" s="20" t="s">
        <v>30</v>
      </c>
    </row>
    <row r="21" spans="1:10" ht="15.0" customHeight="1" x14ac:dyDescent="0.15">
      <c r="A21" s="18">
        <v>1.0</v>
      </c>
      <c r="B21" s="22"/>
      <c r="C21" s="18" t="s">
        <v>31</v>
      </c>
      <c r="D21" s="18"/>
      <c r="E21" s="18"/>
      <c r="F21" s="18">
        <v>520.0</v>
      </c>
      <c r="G21" s="18"/>
      <c r="H21" s="18"/>
      <c r="I21" s="18"/>
      <c r="J21" s="18"/>
    </row>
    <row r="22" spans="1:10" ht="15.0" customHeight="1" x14ac:dyDescent="0.15">
      <c r="A22" s="18">
        <v>2.0</v>
      </c>
      <c r="B22" s="22"/>
      <c r="C22" s="18" t="s">
        <v>31</v>
      </c>
      <c r="D22" s="18"/>
      <c r="E22" s="18"/>
      <c r="F22" s="18">
        <v>520.0</v>
      </c>
      <c r="G22" s="18"/>
      <c r="H22" s="18"/>
      <c r="I22" s="18"/>
      <c r="J22" s="18"/>
    </row>
    <row r="23" spans="1:10" ht="15.0" customHeight="1" x14ac:dyDescent="0.15">
      <c r="A23" s="18">
        <v>3.0</v>
      </c>
      <c r="B23" s="22"/>
      <c r="C23" s="18" t="s">
        <v>31</v>
      </c>
      <c r="D23" s="18"/>
      <c r="E23" s="18"/>
      <c r="F23" s="18">
        <v>520.0</v>
      </c>
      <c r="G23" s="18"/>
      <c r="H23" s="18"/>
      <c r="I23" s="18"/>
      <c r="J23" s="18"/>
    </row>
    <row r="24" spans="1:10" ht="15.0" customHeight="1" x14ac:dyDescent="0.15">
      <c r="A24" s="18">
        <v>4.0</v>
      </c>
      <c r="B24" s="22"/>
      <c r="C24" s="18" t="s">
        <v>31</v>
      </c>
      <c r="D24" s="18"/>
      <c r="E24" s="18"/>
      <c r="F24" s="18">
        <v>520.0</v>
      </c>
      <c r="G24" s="18"/>
      <c r="H24" s="18"/>
      <c r="I24" s="18"/>
      <c r="J24" s="18"/>
    </row>
    <row r="25" spans="1:10" ht="15.0" customHeight="1" x14ac:dyDescent="0.15">
      <c r="A25" s="18">
        <v>5.0</v>
      </c>
      <c r="B25" s="22"/>
      <c r="C25" s="18" t="s">
        <v>31</v>
      </c>
      <c r="D25" s="18"/>
      <c r="E25" s="18"/>
      <c r="F25" s="18">
        <v>520.0</v>
      </c>
      <c r="G25" s="18"/>
      <c r="H25" s="18"/>
      <c r="I25" s="18"/>
      <c r="J25" s="18"/>
    </row>
    <row r="26" spans="1:10" ht="15.0" customHeight="1" x14ac:dyDescent="0.15">
      <c r="A26" s="18">
        <v>6.0</v>
      </c>
      <c r="B26" s="22"/>
      <c r="C26" s="18" t="s">
        <v>31</v>
      </c>
      <c r="D26" s="18"/>
      <c r="E26" s="18"/>
      <c r="F26" s="18">
        <v>520.0</v>
      </c>
      <c r="G26" s="18"/>
      <c r="H26" s="18"/>
      <c r="I26" s="18"/>
      <c r="J26" s="23"/>
    </row>
    <row r="27" spans="1:10" ht="15.0" customHeight="1" x14ac:dyDescent="0.15">
      <c r="A27" s="18">
        <v>7.0</v>
      </c>
      <c r="B27" s="22"/>
      <c r="C27" s="18" t="s">
        <v>31</v>
      </c>
      <c r="D27" s="18"/>
      <c r="E27" s="18"/>
      <c r="F27" s="18">
        <v>520.0</v>
      </c>
      <c r="G27" s="18"/>
      <c r="H27" s="18"/>
      <c r="I27" s="18"/>
      <c r="J27" s="23"/>
    </row>
    <row r="28" spans="1:10" ht="15.0" customHeight="1" x14ac:dyDescent="0.15">
      <c r="A28" s="18">
        <v>8.0</v>
      </c>
      <c r="B28" s="22"/>
      <c r="C28" s="18" t="s">
        <v>31</v>
      </c>
      <c r="D28" s="18"/>
      <c r="E28" s="18"/>
      <c r="F28" s="18">
        <v>520.0</v>
      </c>
      <c r="G28" s="18"/>
      <c r="H28" s="18"/>
      <c r="I28" s="18"/>
      <c r="J28" s="23"/>
    </row>
    <row r="29" spans="1:10" ht="15.0" customHeight="1" x14ac:dyDescent="0.15">
      <c r="A29" s="18">
        <v>9.0</v>
      </c>
      <c r="B29" s="22"/>
      <c r="C29" s="18" t="s">
        <v>31</v>
      </c>
      <c r="D29" s="18"/>
      <c r="E29" s="18"/>
      <c r="F29" s="18">
        <v>520.0</v>
      </c>
      <c r="G29" s="18"/>
      <c r="H29" s="18"/>
      <c r="I29" s="18"/>
      <c r="J29" s="23"/>
    </row>
    <row r="30" spans="1:10" ht="15.0" customHeight="1" x14ac:dyDescent="0.15">
      <c r="A30" s="18">
        <v>10.0</v>
      </c>
      <c r="B30" s="22"/>
      <c r="C30" s="18" t="s">
        <v>31</v>
      </c>
      <c r="D30" s="18"/>
      <c r="E30" s="18"/>
      <c r="F30" s="18">
        <v>520.0</v>
      </c>
      <c r="G30" s="18"/>
      <c r="H30" s="18"/>
      <c r="I30" s="18"/>
      <c r="J30" s="23"/>
    </row>
    <row r="31" spans="1:10" ht="15.0" customHeight="1" x14ac:dyDescent="0.15">
      <c r="A31" s="18">
        <v>11.0</v>
      </c>
      <c r="B31" s="22"/>
      <c r="C31" s="18" t="s">
        <v>31</v>
      </c>
      <c r="D31" s="18"/>
      <c r="E31" s="18"/>
      <c r="F31" s="18">
        <v>520.0</v>
      </c>
      <c r="G31" s="18"/>
      <c r="H31" s="18"/>
      <c r="I31" s="18"/>
      <c r="J31" s="23"/>
    </row>
    <row r="32" spans="1:10" ht="15.0" customHeight="1" x14ac:dyDescent="0.15">
      <c r="A32" s="18">
        <v>12.0</v>
      </c>
      <c r="B32" s="22"/>
      <c r="C32" s="18" t="s">
        <v>31</v>
      </c>
      <c r="D32" s="18"/>
      <c r="E32" s="18"/>
      <c r="F32" s="18">
        <v>520.0</v>
      </c>
      <c r="G32" s="18"/>
      <c r="H32" s="18"/>
      <c r="I32" s="18"/>
      <c r="J32" s="23"/>
    </row>
    <row r="33" spans="1:10" ht="15.0" customHeight="1" x14ac:dyDescent="0.15">
      <c r="A33" s="18">
        <v>13.0</v>
      </c>
      <c r="B33" s="22"/>
      <c r="C33" s="18" t="s">
        <v>31</v>
      </c>
      <c r="D33" s="18"/>
      <c r="E33" s="18"/>
      <c r="F33" s="18">
        <v>520.0</v>
      </c>
      <c r="G33" s="18"/>
      <c r="H33" s="18"/>
      <c r="I33" s="18"/>
      <c r="J33" s="23"/>
    </row>
    <row r="34" spans="1:10" ht="15.0" customHeight="1" x14ac:dyDescent="0.15">
      <c r="A34" s="18">
        <v>14.0</v>
      </c>
      <c r="B34" s="22"/>
      <c r="C34" s="18" t="s">
        <v>31</v>
      </c>
      <c r="D34" s="18"/>
      <c r="E34" s="18"/>
      <c r="F34" s="18">
        <v>520.0</v>
      </c>
      <c r="G34" s="18"/>
      <c r="H34" s="18"/>
      <c r="I34" s="18"/>
      <c r="J34" s="23"/>
    </row>
    <row r="35" spans="1:10" ht="15.0" customHeight="1" x14ac:dyDescent="0.15">
      <c r="A35" s="18">
        <v>15.0</v>
      </c>
      <c r="B35" s="22"/>
      <c r="C35" s="18" t="s">
        <v>31</v>
      </c>
      <c r="D35" s="18"/>
      <c r="E35" s="18"/>
      <c r="F35" s="18">
        <v>520.0</v>
      </c>
      <c r="G35" s="24"/>
      <c r="H35" s="18"/>
      <c r="I35" s="18"/>
      <c r="J35" s="23"/>
    </row>
    <row r="36" spans="1:10" ht="15.0" customHeight="1" x14ac:dyDescent="0.15">
      <c r="A36" s="18">
        <v>16.0</v>
      </c>
      <c r="B36" s="22"/>
      <c r="C36" s="18" t="s">
        <v>31</v>
      </c>
      <c r="D36" s="18"/>
      <c r="E36" s="18"/>
      <c r="F36" s="18">
        <v>520.0</v>
      </c>
      <c r="G36" s="24"/>
      <c r="H36" s="18"/>
      <c r="I36" s="18"/>
      <c r="J36" s="23"/>
    </row>
    <row r="37" spans="1:10" ht="15.0" customHeight="1" x14ac:dyDescent="0.15">
      <c r="A37" s="18">
        <v>17.0</v>
      </c>
      <c r="B37" s="22"/>
      <c r="C37" s="18" t="s">
        <v>31</v>
      </c>
      <c r="D37" s="18"/>
      <c r="E37" s="18"/>
      <c r="F37" s="18">
        <v>520.0</v>
      </c>
      <c r="G37" s="24"/>
      <c r="H37" s="18"/>
      <c r="I37" s="18"/>
      <c r="J37" s="23"/>
    </row>
    <row r="38" spans="1:10" ht="15.0" customHeight="1" x14ac:dyDescent="0.15">
      <c r="A38" s="18">
        <v>18.0</v>
      </c>
      <c r="B38" s="22"/>
      <c r="C38" s="18" t="s">
        <v>31</v>
      </c>
      <c r="D38" s="18"/>
      <c r="E38" s="18"/>
      <c r="F38" s="18">
        <v>520.0</v>
      </c>
      <c r="G38" s="24"/>
      <c r="H38" s="18"/>
      <c r="I38" s="18"/>
      <c r="J38" s="23"/>
    </row>
    <row r="39" spans="1:10" ht="15.0" customHeight="1" x14ac:dyDescent="0.15">
      <c r="A39" s="18">
        <v>19.0</v>
      </c>
      <c r="B39" s="22"/>
      <c r="C39" s="18" t="s">
        <v>31</v>
      </c>
      <c r="D39" s="18"/>
      <c r="E39" s="18"/>
      <c r="F39" s="18">
        <v>520.0</v>
      </c>
      <c r="G39" s="24"/>
      <c r="H39" s="18"/>
      <c r="I39" s="18"/>
      <c r="J39" s="23"/>
    </row>
    <row r="40" spans="1:10" ht="15.0" customHeight="1" x14ac:dyDescent="0.15">
      <c r="A40" s="18">
        <v>20.0</v>
      </c>
      <c r="B40" s="22"/>
      <c r="C40" s="18" t="s">
        <v>31</v>
      </c>
      <c r="D40" s="18"/>
      <c r="E40" s="18"/>
      <c r="F40" s="18">
        <v>520.0</v>
      </c>
      <c r="G40" s="24"/>
      <c r="H40" s="18"/>
      <c r="I40" s="18"/>
      <c r="J40" s="23"/>
    </row>
    <row r="41" spans="1:10" ht="15.0" customHeight="1" x14ac:dyDescent="0.15">
      <c r="A41" s="18">
        <v>21.0</v>
      </c>
      <c r="B41" s="22"/>
      <c r="C41" s="18" t="s">
        <v>31</v>
      </c>
      <c r="D41" s="18"/>
      <c r="E41" s="18"/>
      <c r="F41" s="18">
        <v>520.0</v>
      </c>
      <c r="G41" s="24"/>
      <c r="H41" s="18"/>
      <c r="I41" s="18"/>
      <c r="J41" s="23"/>
    </row>
    <row r="42" spans="1:10" ht="15.0" customHeight="1" x14ac:dyDescent="0.15">
      <c r="A42" s="18">
        <v>22.0</v>
      </c>
      <c r="B42" s="22"/>
      <c r="C42" s="18" t="s">
        <v>31</v>
      </c>
      <c r="D42" s="18"/>
      <c r="E42" s="18"/>
      <c r="F42" s="18">
        <v>520.0</v>
      </c>
      <c r="G42" s="24"/>
      <c r="H42" s="18"/>
      <c r="I42" s="18"/>
      <c r="J42" s="23"/>
    </row>
    <row r="43" spans="1:10" ht="15.0" customHeight="1" x14ac:dyDescent="0.15">
      <c r="A43" s="18">
        <v>23.0</v>
      </c>
      <c r="B43" s="22"/>
      <c r="C43" s="18" t="s">
        <v>31</v>
      </c>
      <c r="D43" s="18"/>
      <c r="E43" s="18"/>
      <c r="F43" s="18">
        <v>520.0</v>
      </c>
      <c r="G43" s="24"/>
      <c r="H43" s="18"/>
      <c r="I43" s="18"/>
      <c r="J43" s="23"/>
    </row>
    <row r="44" spans="1:10" ht="15.0" customHeight="1" x14ac:dyDescent="0.15">
      <c r="A44" s="18">
        <v>24.0</v>
      </c>
      <c r="B44" s="22"/>
      <c r="C44" s="18" t="s">
        <v>31</v>
      </c>
      <c r="D44" s="18"/>
      <c r="E44" s="18"/>
      <c r="F44" s="18">
        <v>520.0</v>
      </c>
      <c r="G44" s="24"/>
      <c r="H44" s="18"/>
      <c r="I44" s="18"/>
      <c r="J44" s="23"/>
    </row>
    <row r="45" spans="1:10" ht="15.0" customHeight="1" x14ac:dyDescent="0.15">
      <c r="A45" s="18">
        <v>25.0</v>
      </c>
      <c r="B45" s="22"/>
      <c r="C45" s="18" t="s">
        <v>31</v>
      </c>
      <c r="D45" s="24"/>
      <c r="E45" s="24"/>
      <c r="F45" s="18">
        <v>520.0</v>
      </c>
      <c r="G45" s="24"/>
      <c r="H45" s="18"/>
      <c r="I45" s="18"/>
      <c r="J45" s="23"/>
    </row>
    <row r="46" spans="1:10" ht="15.0" customHeight="1" x14ac:dyDescent="0.15">
      <c r="A46" s="18">
        <v>26.0</v>
      </c>
      <c r="B46" s="22"/>
      <c r="C46" s="18" t="s">
        <v>31</v>
      </c>
      <c r="D46" s="24"/>
      <c r="E46" s="24"/>
      <c r="F46" s="18">
        <v>520.0</v>
      </c>
      <c r="G46" s="24"/>
      <c r="H46" s="18"/>
      <c r="I46" s="18"/>
      <c r="J46" s="23"/>
    </row>
    <row r="47" spans="1:10" ht="15.0" customHeight="1" x14ac:dyDescent="0.15">
      <c r="A47" s="18">
        <v>27.0</v>
      </c>
      <c r="B47" s="22"/>
      <c r="C47" s="18" t="s">
        <v>31</v>
      </c>
      <c r="D47" s="24"/>
      <c r="E47" s="24"/>
      <c r="F47" s="18">
        <v>520.0</v>
      </c>
      <c r="G47" s="24"/>
      <c r="H47" s="18"/>
      <c r="I47" s="18"/>
      <c r="J47" s="23"/>
    </row>
    <row r="48" spans="1:10" ht="15.0" customHeight="1" x14ac:dyDescent="0.15">
      <c r="A48" s="18">
        <v>28.0</v>
      </c>
      <c r="B48" s="22"/>
      <c r="C48" s="18" t="s">
        <v>31</v>
      </c>
      <c r="D48" s="24"/>
      <c r="E48" s="24"/>
      <c r="F48" s="18">
        <v>520.0</v>
      </c>
      <c r="G48" s="24"/>
      <c r="H48" s="18"/>
      <c r="I48" s="18"/>
      <c r="J48" s="23"/>
    </row>
    <row r="49" spans="1:10" ht="15.0" customHeight="1" x14ac:dyDescent="0.15">
      <c r="A49" s="18">
        <v>29.0</v>
      </c>
      <c r="B49" s="22"/>
      <c r="C49" s="18" t="s">
        <v>31</v>
      </c>
      <c r="D49" s="24"/>
      <c r="E49" s="24"/>
      <c r="F49" s="18">
        <v>520.0</v>
      </c>
      <c r="G49" s="24"/>
      <c r="H49" s="18"/>
      <c r="I49" s="18"/>
      <c r="J49" s="23"/>
    </row>
    <row r="50" spans="1:10" ht="15.0" customHeight="1" x14ac:dyDescent="0.15">
      <c r="A50" s="18">
        <v>30.0</v>
      </c>
      <c r="B50" s="22"/>
      <c r="C50" s="18" t="s">
        <v>31</v>
      </c>
      <c r="D50" s="24"/>
      <c r="E50" s="24"/>
      <c r="F50" s="18">
        <v>520.0</v>
      </c>
      <c r="G50" s="24"/>
      <c r="H50" s="18"/>
      <c r="I50" s="18"/>
      <c r="J50" s="23"/>
    </row>
    <row r="51" spans="1:7" ht="15.0" customHeight="1" x14ac:dyDescent="0.15">
      <c r="A51" s="77" t="s">
        <v>32</v>
      </c>
      <c r="B51" s="76"/>
      <c r="C51" s="76"/>
      <c r="D51" s="76"/>
      <c r="E51" s="75"/>
      <c r="F51" s="28">
        <f>SUM(F21:F50)</f>
        <v>15600</v>
      </c>
      <c r="G51" s="28">
        <f>SUM(G21:G50)</f>
        <v>0</v>
      </c>
    </row>
    <row r="52" spans="1:2" ht="15.0" customHeight="1" x14ac:dyDescent="0.15">
      <c r="A52" s="29" t="s">
        <v>33</v>
      </c>
      <c r="B52" s="29"/>
    </row>
    <row r="54" spans="1:8" ht="15.0" customHeight="1" x14ac:dyDescent="0.15">
      <c r="A54" s="65" t="s">
        <v>34</v>
      </c>
      <c r="B54" s="65"/>
      <c r="C54" s="70" t="s">
        <v>35</v>
      </c>
      <c r="D54" s="66"/>
      <c r="E54" s="69"/>
      <c r="F54" s="68"/>
      <c r="G54" s="68"/>
      <c r="H54" s="66"/>
    </row>
    <row r="55" spans="1:8" ht="15.0" customHeight="1" x14ac:dyDescent="0.15">
      <c r="A55" s="65" t="s">
        <v>36</v>
      </c>
      <c r="B55" s="65"/>
      <c r="C55" s="70" t="s">
        <v>37</v>
      </c>
      <c r="D55" s="66"/>
      <c r="E55" s="65" t="s">
        <v>38</v>
      </c>
      <c r="F55" s="65"/>
      <c r="G55" s="70" t="s">
        <v>39</v>
      </c>
      <c r="H55" s="66"/>
    </row>
    <row r="56" spans="1:8" ht="15.0" customHeight="1" x14ac:dyDescent="0.15">
      <c r="A56" s="65" t="s">
        <v>40</v>
      </c>
      <c r="B56" s="65"/>
      <c r="C56" s="70" t="s">
        <v>21</v>
      </c>
      <c r="D56" s="66"/>
      <c r="E56" s="65" t="s">
        <v>41</v>
      </c>
      <c r="F56" s="65"/>
      <c r="G56" s="70" t="s">
        <v>39</v>
      </c>
      <c r="H56" s="66"/>
    </row>
    <row r="57" spans="1:8" ht="15.0" customHeight="1" x14ac:dyDescent="0.15">
      <c r="A57" s="65" t="s">
        <v>42</v>
      </c>
      <c r="B57" s="65"/>
      <c r="C57" s="70" t="s">
        <v>21</v>
      </c>
      <c r="D57" s="66"/>
      <c r="E57" s="67" t="s">
        <v>43</v>
      </c>
      <c r="F57" s="74"/>
      <c r="G57" s="70" t="s">
        <v>39</v>
      </c>
      <c r="H57" s="66"/>
    </row>
    <row r="58" spans="1:8" ht="15.0" customHeight="1" x14ac:dyDescent="0.15">
      <c r="A58" s="65" t="s">
        <v>44</v>
      </c>
      <c r="B58" s="65"/>
      <c r="C58" s="70" t="s">
        <v>45</v>
      </c>
      <c r="D58" s="66"/>
      <c r="E58" s="67" t="s">
        <v>46</v>
      </c>
      <c r="F58" s="66"/>
      <c r="G58" s="70">
        <v>42.0</v>
      </c>
      <c r="H58" s="66"/>
    </row>
  </sheetData>
  <mergeCells count="52">
    <mergeCell ref="A2:J2"/>
    <mergeCell ref="E15:J15"/>
    <mergeCell ref="A55:B55"/>
    <mergeCell ref="E58:F58"/>
    <mergeCell ref="E54:H54"/>
    <mergeCell ref="C57:D57"/>
    <mergeCell ref="A57:B57"/>
    <mergeCell ref="G58:H58"/>
    <mergeCell ref="C56:D56"/>
    <mergeCell ref="G55:H55"/>
    <mergeCell ref="G56:H56"/>
    <mergeCell ref="E56:F56"/>
    <mergeCell ref="C58:D58"/>
    <mergeCell ref="A58:B58"/>
    <mergeCell ref="C55:D55"/>
    <mergeCell ref="E16:J16"/>
    <mergeCell ref="A6:D6"/>
    <mergeCell ref="E5:H5"/>
    <mergeCell ref="A8:D8"/>
    <mergeCell ref="E13:J13"/>
    <mergeCell ref="A18:C18"/>
    <mergeCell ref="C54:D54"/>
    <mergeCell ref="G57:H57"/>
    <mergeCell ref="E57:F57"/>
    <mergeCell ref="E55:F55"/>
    <mergeCell ref="A56:B56"/>
    <mergeCell ref="A54:B54"/>
    <mergeCell ref="A51:E51"/>
    <mergeCell ref="E8:H8"/>
    <mergeCell ref="F17:J17"/>
    <mergeCell ref="A10:D10"/>
    <mergeCell ref="E11:H11"/>
    <mergeCell ref="E12:H12"/>
    <mergeCell ref="A7:D7"/>
    <mergeCell ref="F7:H7"/>
    <mergeCell ref="I18:J18"/>
    <mergeCell ref="A9:D9"/>
    <mergeCell ref="A11:D11"/>
    <mergeCell ref="A14:D14"/>
    <mergeCell ref="A17:E17"/>
    <mergeCell ref="E10:H10"/>
    <mergeCell ref="A12:D12"/>
    <mergeCell ref="A16:D16"/>
    <mergeCell ref="I5:J5"/>
    <mergeCell ref="A13:D13"/>
    <mergeCell ref="E18:F18"/>
    <mergeCell ref="A5:D5"/>
    <mergeCell ref="E14:J14"/>
    <mergeCell ref="A15:D15"/>
    <mergeCell ref="I6:J12"/>
    <mergeCell ref="E9:H9"/>
    <mergeCell ref="F6:H6"/>
  </mergeCells>
  <phoneticPr fontId="0" type="noConversion"/>
  <pageMargins left="0.7499062639521802" right="0.7499062639521802" top="0.9998749560258521" bottom="0.9998749560258521" header="0.0" footer="0.0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N27"/>
  <sheetViews>
    <sheetView zoomScaleNormal="100" topLeftCell="A1" workbookViewId="0">
      <selection activeCell="C12" activeCellId="0" sqref="C12:C19"/>
    </sheetView>
  </sheetViews>
  <sheetFormatPr defaultRowHeight="15.0" customHeight="1" defaultColWidth="13.0" x14ac:dyDescent="0.15"/>
  <cols>
    <col min="1" max="1" width="8.75" customWidth="1" style="1"/>
    <col min="2" max="2" width="15.5" customWidth="1" style="1"/>
    <col min="3" max="3" width="17.0" customWidth="1" style="1"/>
    <col min="4" max="4" width="14.0" customWidth="1" style="1"/>
    <col min="5" max="5" width="3.375" customWidth="1" style="1"/>
    <col min="6" max="6" width="19.625" customWidth="1" style="1"/>
    <col min="7" max="7" width="17.5" customWidth="1" style="1"/>
    <col min="8" max="8" width="16.375" customWidth="1" style="1"/>
    <col min="9" max="9" width="14.0" customWidth="1" style="1"/>
    <col min="10" max="14" width="8.75" customWidth="1" style="1"/>
  </cols>
  <sheetData>
    <row r="2" spans="1:9" x14ac:dyDescent="0.15">
      <c r="A2" s="133" t="s">
        <v>47</v>
      </c>
      <c r="B2" s="62"/>
      <c r="C2" s="62"/>
      <c r="D2" s="62"/>
      <c r="E2" s="62"/>
      <c r="F2" s="62"/>
      <c r="G2" s="62"/>
      <c r="H2" s="62"/>
      <c r="I2" s="62"/>
    </row>
    <row r="4" spans="1:14" x14ac:dyDescent="0.15">
      <c r="A4" s="67" t="s">
        <v>1</v>
      </c>
      <c r="B4" s="68"/>
      <c r="C4" s="71">
        <f>'STUFFING REPORT'!E5</f>
        <v>0</v>
      </c>
      <c r="D4" s="138"/>
      <c r="E4" s="138"/>
      <c r="F4" s="138"/>
      <c r="G4" s="138"/>
      <c r="H4" s="138"/>
      <c r="I4" s="78"/>
      <c r="J4" s="62"/>
      <c r="K4" s="62"/>
      <c r="L4" s="62"/>
      <c r="M4" s="62"/>
      <c r="N4" s="62"/>
    </row>
    <row r="5" spans="1:8" x14ac:dyDescent="0.15">
      <c r="A5" s="67" t="s">
        <v>48</v>
      </c>
      <c r="B5" s="66"/>
      <c r="C5" s="141">
        <f>'STUFFING REPORT'!E8</f>
        <v>0</v>
      </c>
      <c r="D5" s="140"/>
      <c r="E5" s="140"/>
      <c r="F5" s="140"/>
      <c r="G5" s="140"/>
      <c r="H5" s="139"/>
    </row>
    <row r="6" spans="1:8" x14ac:dyDescent="0.15">
      <c r="A6" s="67" t="s">
        <v>49</v>
      </c>
      <c r="B6" s="66"/>
      <c r="C6" s="67">
        <f>'STUFFING REPORT'!E10</f>
        <v>0</v>
      </c>
      <c r="D6" s="68"/>
      <c r="E6" s="68"/>
      <c r="F6" s="68"/>
      <c r="G6" s="68"/>
      <c r="H6" s="66"/>
    </row>
    <row r="7" spans="1:8" x14ac:dyDescent="0.15">
      <c r="A7" s="67" t="s">
        <v>50</v>
      </c>
      <c r="B7" s="66"/>
      <c r="C7" s="67">
        <f>'STUFFING REPORT'!E13</f>
        <v>0</v>
      </c>
      <c r="D7" s="68"/>
      <c r="E7" s="68"/>
      <c r="F7" s="68"/>
      <c r="G7" s="68"/>
      <c r="H7" s="66"/>
    </row>
    <row r="8" spans="1:8" x14ac:dyDescent="0.15">
      <c r="A8" s="67" t="s">
        <v>51</v>
      </c>
      <c r="B8" s="66"/>
      <c r="C8" s="134">
        <v>0.1</v>
      </c>
      <c r="D8" s="68"/>
      <c r="E8" s="68"/>
      <c r="F8" s="68"/>
      <c r="G8" s="68"/>
      <c r="H8" s="66"/>
    </row>
    <row r="9" spans="1:8" x14ac:dyDescent="0.15">
      <c r="A9" s="67" t="s">
        <v>52</v>
      </c>
      <c r="B9" s="66"/>
      <c r="C9" s="67" t="s">
        <f>'STUFFING REPORT'!F51&amp;" Bags"</f>
        <v>53</v>
      </c>
      <c r="D9" s="68"/>
      <c r="E9" s="68"/>
      <c r="F9" s="68"/>
      <c r="G9" s="68"/>
      <c r="H9" s="66"/>
    </row>
    <row r="11" spans="1:4" ht="38.1" customHeight="1" x14ac:dyDescent="0.15">
      <c r="A11" s="20" t="s">
        <v>54</v>
      </c>
      <c r="B11" s="20" t="s">
        <v>55</v>
      </c>
      <c r="C11" s="20" t="s">
        <v>56</v>
      </c>
      <c r="D11" s="21" t="s">
        <v>57</v>
      </c>
    </row>
    <row r="12" spans="1:9" x14ac:dyDescent="0.15">
      <c r="A12" s="18">
        <v>1.0</v>
      </c>
      <c r="B12" s="18">
        <v>200.0</v>
      </c>
      <c r="C12" s="18"/>
      <c r="D12" s="18" t="s">
        <v>58</v>
      </c>
      <c r="F12" s="23" t="s">
        <v>59</v>
      </c>
      <c r="G12" s="18">
        <f>TRUNC((C27/B27),3)</f>
        <v>0</v>
      </c>
      <c r="H12" s="23" t="s">
        <v>60</v>
      </c>
      <c r="I12" s="18">
        <f>G12*'STUFFING REPORT'!F51/1000</f>
        <v>0</v>
      </c>
    </row>
    <row r="13" spans="1:9" x14ac:dyDescent="0.15">
      <c r="A13" s="18">
        <v>2.0</v>
      </c>
      <c r="B13" s="18">
        <v>200.0</v>
      </c>
      <c r="C13" s="18"/>
      <c r="D13" s="18" t="s">
        <v>58</v>
      </c>
      <c r="F13" s="23" t="s">
        <v>61</v>
      </c>
      <c r="G13" s="18">
        <v>0.12</v>
      </c>
      <c r="H13" s="23" t="s">
        <v>62</v>
      </c>
      <c r="I13" s="18">
        <f>G13*'STUFFING REPORT'!F51/1000</f>
        <v>1.872</v>
      </c>
    </row>
    <row r="14" spans="1:9" x14ac:dyDescent="0.15">
      <c r="A14" s="18">
        <v>3.0</v>
      </c>
      <c r="B14" s="18">
        <v>200.0</v>
      </c>
      <c r="C14" s="18"/>
      <c r="D14" s="18" t="s">
        <v>58</v>
      </c>
      <c r="F14" s="23" t="s">
        <v>63</v>
      </c>
      <c r="G14" s="18">
        <f>G12-G13</f>
        <v>-0.12</v>
      </c>
      <c r="H14" s="23" t="s">
        <v>64</v>
      </c>
      <c r="I14" s="18">
        <f>G14*'STUFFING REPORT'!F51/1000</f>
        <v>-1.872</v>
      </c>
    </row>
    <row r="15" spans="1:9" x14ac:dyDescent="0.15">
      <c r="A15" s="18">
        <v>4.0</v>
      </c>
      <c r="B15" s="18">
        <v>200.0</v>
      </c>
      <c r="C15" s="18"/>
      <c r="D15" s="18" t="s">
        <v>58</v>
      </c>
      <c r="F15" s="23" t="s">
        <v>65</v>
      </c>
      <c r="G15" s="18"/>
      <c r="H15" s="23" t="s">
        <v>66</v>
      </c>
      <c r="I15" s="18">
        <f>G15/1000</f>
        <v>0</v>
      </c>
    </row>
    <row r="16" spans="1:9" x14ac:dyDescent="0.15">
      <c r="A16" s="18">
        <v>5.0</v>
      </c>
      <c r="B16" s="18">
        <v>200.0</v>
      </c>
      <c r="C16" s="18"/>
      <c r="D16" s="18" t="s">
        <v>58</v>
      </c>
      <c r="F16" s="137" t="s">
        <v>67</v>
      </c>
      <c r="G16" s="136"/>
      <c r="H16" s="135"/>
      <c r="I16" s="18">
        <f>SUM(I14:I15)</f>
        <v>-1.872</v>
      </c>
    </row>
    <row r="17" spans="1:4" x14ac:dyDescent="0.15">
      <c r="A17" s="18">
        <v>6.0</v>
      </c>
      <c r="B17" s="18">
        <v>200.0</v>
      </c>
      <c r="C17" s="18"/>
      <c r="D17" s="18" t="s">
        <v>58</v>
      </c>
    </row>
    <row r="18" spans="1:4" x14ac:dyDescent="0.15">
      <c r="A18" s="18">
        <v>7.0</v>
      </c>
      <c r="B18" s="18">
        <v>200.0</v>
      </c>
      <c r="C18" s="18"/>
      <c r="D18" s="18" t="s">
        <v>58</v>
      </c>
    </row>
    <row r="19" spans="1:4" x14ac:dyDescent="0.15">
      <c r="A19" s="18">
        <v>8.0</v>
      </c>
      <c r="B19" s="18">
        <v>160.0</v>
      </c>
      <c r="C19" s="18"/>
      <c r="D19" s="18" t="s">
        <v>58</v>
      </c>
    </row>
    <row r="20" spans="1:4" x14ac:dyDescent="0.15">
      <c r="A20" s="18">
        <v>9.0</v>
      </c>
      <c r="B20" s="18"/>
      <c r="C20" s="18"/>
      <c r="D20" s="18"/>
    </row>
    <row r="21" spans="1:4" ht="15.0" customHeight="1" x14ac:dyDescent="0.15">
      <c r="A21" s="18">
        <v>10.0</v>
      </c>
      <c r="B21" s="18"/>
      <c r="C21" s="18"/>
      <c r="D21" s="18"/>
    </row>
    <row r="22" spans="1:4" ht="15.0" customHeight="1" x14ac:dyDescent="0.15">
      <c r="A22" s="18">
        <v>11.0</v>
      </c>
      <c r="B22" s="18"/>
      <c r="C22" s="18"/>
      <c r="D22" s="18"/>
    </row>
    <row r="23" spans="1:4" ht="15.0" customHeight="1" x14ac:dyDescent="0.15">
      <c r="A23" s="18">
        <v>12.0</v>
      </c>
      <c r="B23" s="18"/>
      <c r="C23" s="18"/>
      <c r="D23" s="18"/>
    </row>
    <row r="24" spans="1:4" ht="15.0" customHeight="1" x14ac:dyDescent="0.15">
      <c r="A24" s="18">
        <v>13.0</v>
      </c>
      <c r="B24" s="18"/>
      <c r="C24" s="18"/>
      <c r="D24" s="18"/>
    </row>
    <row r="25" spans="1:4" ht="15.0" customHeight="1" x14ac:dyDescent="0.15">
      <c r="A25" s="18">
        <v>14.0</v>
      </c>
      <c r="B25" s="18"/>
      <c r="C25" s="18"/>
      <c r="D25" s="18"/>
    </row>
    <row r="26" spans="1:4" ht="15.0" customHeight="1" x14ac:dyDescent="0.15">
      <c r="A26" s="18">
        <v>15.0</v>
      </c>
      <c r="B26" s="18"/>
      <c r="C26" s="18"/>
      <c r="D26" s="18"/>
    </row>
    <row r="27" spans="1:4" ht="15.0" customHeight="1" x14ac:dyDescent="0.15">
      <c r="A27" s="20" t="s">
        <v>32</v>
      </c>
      <c r="B27" s="18">
        <f>SUM(B12:B26)</f>
        <v>1560</v>
      </c>
      <c r="C27" s="18">
        <f>SUM(C12:C26)</f>
        <v>0</v>
      </c>
      <c r="D27" s="18" t="s">
        <v>58</v>
      </c>
    </row>
  </sheetData>
  <mergeCells count="15">
    <mergeCell ref="A2:I2"/>
    <mergeCell ref="C7:H7"/>
    <mergeCell ref="I4:N4"/>
    <mergeCell ref="A4:B4"/>
    <mergeCell ref="C8:H8"/>
    <mergeCell ref="A9:B9"/>
    <mergeCell ref="F16:H16"/>
    <mergeCell ref="A6:B6"/>
    <mergeCell ref="C4:H4"/>
    <mergeCell ref="C9:H9"/>
    <mergeCell ref="A5:B5"/>
    <mergeCell ref="C6:H6"/>
    <mergeCell ref="C5:H5"/>
    <mergeCell ref="A7:B7"/>
    <mergeCell ref="A8:B8"/>
  </mergeCells>
  <phoneticPr fontId="0" type="noConversion"/>
  <pageMargins left="0.7499062639521802" right="0.7499062639521802" top="0.9998749560258521" bottom="0.9998749560258521" header="0.0" footer="0.0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N41"/>
  <sheetViews>
    <sheetView zoomScale="78" zoomScaleNormal="78" topLeftCell="I1" workbookViewId="0">
      <selection activeCell="C5" activeCellId="0" sqref="C5:E5"/>
    </sheetView>
  </sheetViews>
  <sheetFormatPr defaultRowHeight="15.0" customHeight="1" defaultColWidth="13.0" x14ac:dyDescent="0.15"/>
  <cols>
    <col min="1" max="1" width="6.75" customWidth="1" style="1"/>
    <col min="2" max="2" width="17.125" customWidth="1" style="1"/>
    <col min="3" max="12" width="8.75" customWidth="1" style="1"/>
    <col min="13" max="13" width="12.375" customWidth="1" style="1"/>
    <col min="14" max="15" width="13.0"/>
  </cols>
  <sheetData>
    <row r="2" spans="1:13" ht="18.75" x14ac:dyDescent="0.15">
      <c r="B2" s="142" t="s">
        <v>68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4" spans="1:10" x14ac:dyDescent="0.15">
      <c r="A4" s="67" t="s">
        <v>69</v>
      </c>
      <c r="B4" s="66"/>
      <c r="C4" s="67">
        <f>'STUFFING REPORT'!E14</f>
        <v>0</v>
      </c>
      <c r="D4" s="68"/>
      <c r="E4" s="66"/>
      <c r="F4" s="67" t="s">
        <v>70</v>
      </c>
      <c r="G4" s="66"/>
      <c r="H4" s="67">
        <f>'STUFFING REPORT'!E10</f>
        <v>0</v>
      </c>
      <c r="I4" s="68"/>
      <c r="J4" s="66"/>
    </row>
    <row r="5" spans="1:10" x14ac:dyDescent="0.15">
      <c r="A5" s="67" t="s">
        <v>71</v>
      </c>
      <c r="B5" s="66"/>
      <c r="C5" s="80">
        <f>'STUFFING REPORT'!F6</f>
        <v>45784</v>
      </c>
      <c r="D5" s="149"/>
      <c r="E5" s="148"/>
      <c r="F5" s="67" t="s">
        <v>72</v>
      </c>
      <c r="G5" s="66"/>
      <c r="H5" s="70"/>
      <c r="I5" s="68"/>
      <c r="J5" s="66"/>
    </row>
    <row r="6" spans="1:10" x14ac:dyDescent="0.15">
      <c r="A6" s="67" t="s">
        <v>73</v>
      </c>
      <c r="B6" s="66"/>
      <c r="C6" s="67">
        <f>'STUFFING REPORT'!E8</f>
        <v>0</v>
      </c>
      <c r="D6" s="68"/>
      <c r="E6" s="66"/>
      <c r="F6" s="67" t="s">
        <v>74</v>
      </c>
      <c r="G6" s="66"/>
      <c r="H6" s="70"/>
      <c r="I6" s="68"/>
      <c r="J6" s="66"/>
    </row>
    <row r="7" spans="1:10" x14ac:dyDescent="0.15">
      <c r="A7" s="67" t="s">
        <v>75</v>
      </c>
      <c r="B7" s="66"/>
      <c r="C7" s="70" t="s">
        <v>76</v>
      </c>
      <c r="D7" s="69"/>
      <c r="E7" s="150"/>
      <c r="F7" s="67" t="s">
        <v>77</v>
      </c>
      <c r="G7" s="66"/>
      <c r="H7" s="70" t="s">
        <v>78</v>
      </c>
      <c r="I7" s="68"/>
      <c r="J7" s="66"/>
    </row>
    <row r="9" spans="1:14" ht="25.15" customHeight="1" x14ac:dyDescent="0.15">
      <c r="A9" s="145" t="s">
        <v>79</v>
      </c>
      <c r="B9" s="145" t="s">
        <v>80</v>
      </c>
      <c r="C9" s="81" t="s">
        <v>81</v>
      </c>
      <c r="D9" s="68"/>
      <c r="E9" s="68"/>
      <c r="F9" s="68"/>
      <c r="G9" s="68"/>
      <c r="H9" s="68"/>
      <c r="I9" s="68"/>
      <c r="J9" s="68"/>
      <c r="K9" s="68"/>
      <c r="L9" s="66"/>
      <c r="M9" s="144" t="s">
        <v>32</v>
      </c>
      <c r="N9" s="147" t="s">
        <v>82</v>
      </c>
    </row>
    <row r="10" spans="1:14" x14ac:dyDescent="0.15">
      <c r="A10" s="143"/>
      <c r="B10" s="143"/>
      <c r="C10" s="20">
        <v>1.0</v>
      </c>
      <c r="D10" s="20">
        <v>2.0</v>
      </c>
      <c r="E10" s="20">
        <v>3.0</v>
      </c>
      <c r="F10" s="20">
        <v>4.0</v>
      </c>
      <c r="G10" s="20">
        <v>5.0</v>
      </c>
      <c r="H10" s="20">
        <v>6.0</v>
      </c>
      <c r="I10" s="20">
        <v>7.0</v>
      </c>
      <c r="J10" s="20">
        <v>8.0</v>
      </c>
      <c r="K10" s="20">
        <v>9.0</v>
      </c>
      <c r="L10" s="20">
        <v>10.0</v>
      </c>
      <c r="M10" s="143"/>
      <c r="N10" s="145"/>
    </row>
    <row r="11" spans="1:14" x14ac:dyDescent="0.15">
      <c r="A11" s="18">
        <v>1.0</v>
      </c>
      <c r="B11" s="22">
        <f>'STUFFING REPORT'!B21</f>
        <v>0</v>
      </c>
      <c r="C11" s="18">
        <v>62.0</v>
      </c>
      <c r="D11" s="18">
        <v>62.0</v>
      </c>
      <c r="E11" s="18">
        <v>62.0</v>
      </c>
      <c r="F11" s="18">
        <v>62.0</v>
      </c>
      <c r="G11" s="18">
        <v>62.0</v>
      </c>
      <c r="H11" s="18">
        <v>62.0</v>
      </c>
      <c r="I11" s="18">
        <v>62.0</v>
      </c>
      <c r="J11" s="18"/>
      <c r="K11" s="18"/>
      <c r="L11" s="18" t="s">
        <v>83</v>
      </c>
      <c r="M11" s="6">
        <f>SUM(C11:L11)</f>
        <v>434</v>
      </c>
      <c r="N11" s="49"/>
    </row>
    <row r="12" spans="1:14" x14ac:dyDescent="0.15">
      <c r="A12" s="18">
        <v>2.0</v>
      </c>
      <c r="B12" s="22">
        <f>'STUFFING REPORT'!B22</f>
        <v>0</v>
      </c>
      <c r="C12" s="18">
        <v>62.0</v>
      </c>
      <c r="D12" s="18">
        <v>62.0</v>
      </c>
      <c r="E12" s="18">
        <v>62.0</v>
      </c>
      <c r="F12" s="18">
        <v>62.0</v>
      </c>
      <c r="G12" s="18">
        <v>62.0</v>
      </c>
      <c r="H12" s="18">
        <v>62.0</v>
      </c>
      <c r="I12" s="18">
        <v>62.0</v>
      </c>
      <c r="J12" s="18"/>
      <c r="K12" s="18"/>
      <c r="L12" s="18" t="s">
        <v>83</v>
      </c>
      <c r="M12" s="6">
        <f>SUM(C12:L12)</f>
        <v>434</v>
      </c>
      <c r="N12" s="49"/>
    </row>
    <row r="13" spans="1:14" x14ac:dyDescent="0.15">
      <c r="A13" s="18">
        <v>3.0</v>
      </c>
      <c r="B13" s="22">
        <f>'STUFFING REPORT'!B23</f>
        <v>0</v>
      </c>
      <c r="C13" s="18">
        <v>62.0</v>
      </c>
      <c r="D13" s="18">
        <v>62.0</v>
      </c>
      <c r="E13" s="18">
        <v>62.0</v>
      </c>
      <c r="F13" s="18">
        <v>62.0</v>
      </c>
      <c r="G13" s="18">
        <v>62.0</v>
      </c>
      <c r="H13" s="18">
        <v>62.0</v>
      </c>
      <c r="I13" s="18">
        <v>62.0</v>
      </c>
      <c r="J13" s="18"/>
      <c r="K13" s="18"/>
      <c r="L13" s="18" t="s">
        <v>83</v>
      </c>
      <c r="M13" s="6">
        <f>SUM(C13:L13)</f>
        <v>434</v>
      </c>
      <c r="N13" s="49"/>
    </row>
    <row r="14" spans="1:14" x14ac:dyDescent="0.15">
      <c r="A14" s="18">
        <v>4.0</v>
      </c>
      <c r="B14" s="22">
        <f>'STUFFING REPORT'!B24</f>
        <v>0</v>
      </c>
      <c r="C14" s="18">
        <v>62.0</v>
      </c>
      <c r="D14" s="18">
        <v>62.0</v>
      </c>
      <c r="E14" s="18">
        <v>62.0</v>
      </c>
      <c r="F14" s="18">
        <v>62.0</v>
      </c>
      <c r="G14" s="18">
        <v>62.0</v>
      </c>
      <c r="H14" s="18">
        <v>62.0</v>
      </c>
      <c r="I14" s="18">
        <v>62.0</v>
      </c>
      <c r="J14" s="18"/>
      <c r="K14" s="18"/>
      <c r="L14" s="18" t="s">
        <v>83</v>
      </c>
      <c r="M14" s="6">
        <f>SUM(C14:L14)</f>
        <v>434</v>
      </c>
      <c r="N14" s="49"/>
    </row>
    <row r="15" spans="1:14" x14ac:dyDescent="0.15">
      <c r="A15" s="18">
        <v>5.0</v>
      </c>
      <c r="B15" s="22">
        <f>'STUFFING REPORT'!B25</f>
        <v>0</v>
      </c>
      <c r="C15" s="18">
        <v>62.0</v>
      </c>
      <c r="D15" s="18">
        <v>62.0</v>
      </c>
      <c r="E15" s="18">
        <v>62.0</v>
      </c>
      <c r="F15" s="18">
        <v>62.0</v>
      </c>
      <c r="G15" s="18">
        <v>62.0</v>
      </c>
      <c r="H15" s="18">
        <v>62.0</v>
      </c>
      <c r="I15" s="18">
        <v>62.0</v>
      </c>
      <c r="J15" s="18"/>
      <c r="K15" s="18"/>
      <c r="L15" s="18" t="s">
        <v>83</v>
      </c>
      <c r="M15" s="6">
        <f>SUM(C15:L15)</f>
        <v>434</v>
      </c>
      <c r="N15" s="49"/>
    </row>
    <row r="16" spans="1:14" x14ac:dyDescent="0.15">
      <c r="A16" s="18">
        <v>6.0</v>
      </c>
      <c r="B16" s="22">
        <f>'STUFFING REPORT'!B26</f>
        <v>0</v>
      </c>
      <c r="C16" s="18">
        <v>62.0</v>
      </c>
      <c r="D16" s="18">
        <v>62.0</v>
      </c>
      <c r="E16" s="18">
        <v>62.0</v>
      </c>
      <c r="F16" s="18">
        <v>62.0</v>
      </c>
      <c r="G16" s="18">
        <v>62.0</v>
      </c>
      <c r="H16" s="18">
        <v>62.0</v>
      </c>
      <c r="I16" s="18">
        <v>62.0</v>
      </c>
      <c r="J16" s="18"/>
      <c r="K16" s="18"/>
      <c r="L16" s="18" t="s">
        <v>83</v>
      </c>
      <c r="M16" s="6">
        <f>SUM(C16:L16)</f>
        <v>434</v>
      </c>
      <c r="N16" s="49"/>
    </row>
    <row r="17" spans="1:14" x14ac:dyDescent="0.15">
      <c r="A17" s="18">
        <v>7.0</v>
      </c>
      <c r="B17" s="22">
        <f>'STUFFING REPORT'!B27</f>
        <v>0</v>
      </c>
      <c r="C17" s="18">
        <v>62.0</v>
      </c>
      <c r="D17" s="18">
        <v>62.0</v>
      </c>
      <c r="E17" s="18">
        <v>62.0</v>
      </c>
      <c r="F17" s="18">
        <v>62.0</v>
      </c>
      <c r="G17" s="18">
        <v>62.0</v>
      </c>
      <c r="H17" s="18">
        <v>62.0</v>
      </c>
      <c r="I17" s="18">
        <v>62.0</v>
      </c>
      <c r="J17" s="18"/>
      <c r="K17" s="18"/>
      <c r="L17" s="18" t="s">
        <v>83</v>
      </c>
      <c r="M17" s="6">
        <f>SUM(C17:L17)</f>
        <v>434</v>
      </c>
      <c r="N17" s="49"/>
    </row>
    <row r="18" spans="1:14" x14ac:dyDescent="0.15">
      <c r="A18" s="18">
        <v>8.0</v>
      </c>
      <c r="B18" s="22">
        <f>'STUFFING REPORT'!B28</f>
        <v>0</v>
      </c>
      <c r="C18" s="18">
        <v>62.0</v>
      </c>
      <c r="D18" s="18">
        <v>62.0</v>
      </c>
      <c r="E18" s="18">
        <v>62.0</v>
      </c>
      <c r="F18" s="18">
        <v>62.0</v>
      </c>
      <c r="G18" s="18">
        <v>62.0</v>
      </c>
      <c r="H18" s="18">
        <v>62.0</v>
      </c>
      <c r="I18" s="18">
        <v>62.0</v>
      </c>
      <c r="J18" s="18"/>
      <c r="K18" s="18"/>
      <c r="L18" s="18" t="s">
        <v>83</v>
      </c>
      <c r="M18" s="6">
        <f>SUM(C18:L18)</f>
        <v>434</v>
      </c>
      <c r="N18" s="49"/>
    </row>
    <row r="19" spans="1:14" x14ac:dyDescent="0.15">
      <c r="A19" s="18">
        <v>9.0</v>
      </c>
      <c r="B19" s="22">
        <f>'STUFFING REPORT'!B29</f>
        <v>0</v>
      </c>
      <c r="C19" s="18">
        <v>62.0</v>
      </c>
      <c r="D19" s="18">
        <v>62.0</v>
      </c>
      <c r="E19" s="18">
        <v>62.0</v>
      </c>
      <c r="F19" s="18">
        <v>62.0</v>
      </c>
      <c r="G19" s="18">
        <v>62.0</v>
      </c>
      <c r="H19" s="18">
        <v>62.0</v>
      </c>
      <c r="I19" s="18">
        <v>62.0</v>
      </c>
      <c r="J19" s="18"/>
      <c r="K19" s="18"/>
      <c r="L19" s="18" t="s">
        <v>83</v>
      </c>
      <c r="M19" s="6">
        <f>SUM(C19:L19)</f>
        <v>434</v>
      </c>
      <c r="N19" s="49"/>
    </row>
    <row r="20" spans="1:14" x14ac:dyDescent="0.15">
      <c r="A20" s="18">
        <v>10.0</v>
      </c>
      <c r="B20" s="22">
        <f>'STUFFING REPORT'!B30</f>
        <v>0</v>
      </c>
      <c r="C20" s="18">
        <v>62.0</v>
      </c>
      <c r="D20" s="18">
        <v>62.0</v>
      </c>
      <c r="E20" s="18">
        <v>62.0</v>
      </c>
      <c r="F20" s="18">
        <v>62.0</v>
      </c>
      <c r="G20" s="18">
        <v>62.0</v>
      </c>
      <c r="H20" s="18">
        <v>62.0</v>
      </c>
      <c r="I20" s="18">
        <v>62.0</v>
      </c>
      <c r="J20" s="18"/>
      <c r="K20" s="18"/>
      <c r="L20" s="18" t="s">
        <v>83</v>
      </c>
      <c r="M20" s="6">
        <f>SUM(C20:L20)</f>
        <v>434</v>
      </c>
      <c r="N20" s="49"/>
    </row>
    <row r="21" spans="1:14" ht="15.0" customHeight="1" x14ac:dyDescent="0.15">
      <c r="A21" s="18">
        <v>11.0</v>
      </c>
      <c r="B21" s="22">
        <f>'STUFFING REPORT'!B31</f>
        <v>0</v>
      </c>
      <c r="C21" s="18">
        <v>62.0</v>
      </c>
      <c r="D21" s="18">
        <v>62.0</v>
      </c>
      <c r="E21" s="18">
        <v>62.0</v>
      </c>
      <c r="F21" s="18">
        <v>62.0</v>
      </c>
      <c r="G21" s="18">
        <v>62.0</v>
      </c>
      <c r="H21" s="18">
        <v>62.0</v>
      </c>
      <c r="I21" s="18">
        <v>62.0</v>
      </c>
      <c r="J21" s="18"/>
      <c r="K21" s="18"/>
      <c r="L21" s="18" t="s">
        <v>83</v>
      </c>
      <c r="M21" s="6">
        <f>SUM(C21:L21)</f>
        <v>434</v>
      </c>
      <c r="N21" s="49"/>
    </row>
    <row r="22" spans="1:14" ht="15.0" customHeight="1" x14ac:dyDescent="0.15">
      <c r="A22" s="18">
        <v>12.0</v>
      </c>
      <c r="B22" s="22">
        <f>'STUFFING REPORT'!B32</f>
        <v>0</v>
      </c>
      <c r="C22" s="18">
        <v>62.0</v>
      </c>
      <c r="D22" s="18">
        <v>62.0</v>
      </c>
      <c r="E22" s="18">
        <v>62.0</v>
      </c>
      <c r="F22" s="18">
        <v>62.0</v>
      </c>
      <c r="G22" s="18">
        <v>62.0</v>
      </c>
      <c r="H22" s="18">
        <v>62.0</v>
      </c>
      <c r="I22" s="18">
        <v>62.0</v>
      </c>
      <c r="J22" s="18"/>
      <c r="K22" s="18"/>
      <c r="L22" s="18" t="s">
        <v>83</v>
      </c>
      <c r="M22" s="6">
        <f>SUM(C22:L22)</f>
        <v>434</v>
      </c>
      <c r="N22" s="49"/>
    </row>
    <row r="23" spans="1:14" ht="15.0" customHeight="1" x14ac:dyDescent="0.15">
      <c r="A23" s="18">
        <v>13.0</v>
      </c>
      <c r="B23" s="22">
        <f>'STUFFING REPORT'!B33</f>
        <v>0</v>
      </c>
      <c r="C23" s="18">
        <v>62.0</v>
      </c>
      <c r="D23" s="18">
        <v>62.0</v>
      </c>
      <c r="E23" s="18">
        <v>62.0</v>
      </c>
      <c r="F23" s="18">
        <v>62.0</v>
      </c>
      <c r="G23" s="18">
        <v>62.0</v>
      </c>
      <c r="H23" s="18">
        <v>62.0</v>
      </c>
      <c r="I23" s="18">
        <v>62.0</v>
      </c>
      <c r="J23" s="18"/>
      <c r="K23" s="18"/>
      <c r="L23" s="18" t="s">
        <v>83</v>
      </c>
      <c r="M23" s="6">
        <f>SUM(C23:L23)</f>
        <v>434</v>
      </c>
      <c r="N23" s="49"/>
    </row>
    <row r="24" spans="1:14" ht="15.0" customHeight="1" x14ac:dyDescent="0.15">
      <c r="A24" s="18">
        <v>14.0</v>
      </c>
      <c r="B24" s="22">
        <f>'STUFFING REPORT'!B34</f>
        <v>0</v>
      </c>
      <c r="C24" s="18">
        <v>62.0</v>
      </c>
      <c r="D24" s="18">
        <v>62.0</v>
      </c>
      <c r="E24" s="18">
        <v>62.0</v>
      </c>
      <c r="F24" s="18">
        <v>62.0</v>
      </c>
      <c r="G24" s="18">
        <v>62.0</v>
      </c>
      <c r="H24" s="18">
        <v>62.0</v>
      </c>
      <c r="I24" s="18">
        <v>62.0</v>
      </c>
      <c r="J24" s="18"/>
      <c r="K24" s="18"/>
      <c r="L24" s="18" t="s">
        <v>83</v>
      </c>
      <c r="M24" s="6">
        <f>SUM(C24:L24)</f>
        <v>434</v>
      </c>
      <c r="N24" s="49"/>
    </row>
    <row r="25" spans="1:14" ht="15.0" customHeight="1" x14ac:dyDescent="0.15">
      <c r="A25" s="18">
        <v>15.0</v>
      </c>
      <c r="B25" s="22">
        <f>'STUFFING REPORT'!B35</f>
        <v>0</v>
      </c>
      <c r="C25" s="18">
        <v>62.0</v>
      </c>
      <c r="D25" s="18">
        <v>62.0</v>
      </c>
      <c r="E25" s="18">
        <v>62.0</v>
      </c>
      <c r="F25" s="18">
        <v>62.0</v>
      </c>
      <c r="G25" s="18">
        <v>62.0</v>
      </c>
      <c r="H25" s="18">
        <v>62.0</v>
      </c>
      <c r="I25" s="18">
        <v>62.0</v>
      </c>
      <c r="J25" s="18"/>
      <c r="K25" s="18"/>
      <c r="L25" s="18" t="s">
        <v>83</v>
      </c>
      <c r="M25" s="6">
        <f>SUM(C25:L25)</f>
        <v>434</v>
      </c>
      <c r="N25" s="49"/>
    </row>
    <row r="26" spans="1:14" ht="15.0" customHeight="1" x14ac:dyDescent="0.15">
      <c r="A26" s="18">
        <v>16.0</v>
      </c>
      <c r="B26" s="22">
        <f>'STUFFING REPORT'!B36</f>
        <v>0</v>
      </c>
      <c r="C26" s="18">
        <v>62.0</v>
      </c>
      <c r="D26" s="18">
        <v>62.0</v>
      </c>
      <c r="E26" s="18">
        <v>62.0</v>
      </c>
      <c r="F26" s="18">
        <v>62.0</v>
      </c>
      <c r="G26" s="18">
        <v>62.0</v>
      </c>
      <c r="H26" s="18">
        <v>62.0</v>
      </c>
      <c r="I26" s="18">
        <v>62.0</v>
      </c>
      <c r="J26" s="18"/>
      <c r="K26" s="18"/>
      <c r="L26" s="18" t="s">
        <v>83</v>
      </c>
      <c r="M26" s="6">
        <f>SUM(C26:L26)</f>
        <v>434</v>
      </c>
      <c r="N26" s="49"/>
    </row>
    <row r="27" spans="1:14" ht="15.0" customHeight="1" x14ac:dyDescent="0.15">
      <c r="A27" s="18">
        <v>17.0</v>
      </c>
      <c r="B27" s="22">
        <f>'STUFFING REPORT'!B37</f>
        <v>0</v>
      </c>
      <c r="C27" s="18">
        <v>62.0</v>
      </c>
      <c r="D27" s="18">
        <v>62.0</v>
      </c>
      <c r="E27" s="18">
        <v>62.0</v>
      </c>
      <c r="F27" s="18">
        <v>62.0</v>
      </c>
      <c r="G27" s="18">
        <v>62.0</v>
      </c>
      <c r="H27" s="18">
        <v>62.0</v>
      </c>
      <c r="I27" s="18">
        <v>62.0</v>
      </c>
      <c r="J27" s="18"/>
      <c r="K27" s="18"/>
      <c r="L27" s="18" t="s">
        <v>83</v>
      </c>
      <c r="M27" s="6">
        <f>SUM(C27:L27)</f>
        <v>434</v>
      </c>
      <c r="N27" s="49"/>
    </row>
    <row r="28" spans="1:14" ht="15.0" customHeight="1" x14ac:dyDescent="0.15">
      <c r="A28" s="18">
        <v>18.0</v>
      </c>
      <c r="B28" s="22">
        <f>'STUFFING REPORT'!B38</f>
        <v>0</v>
      </c>
      <c r="C28" s="18">
        <v>62.0</v>
      </c>
      <c r="D28" s="18">
        <v>62.0</v>
      </c>
      <c r="E28" s="18">
        <v>62.0</v>
      </c>
      <c r="F28" s="18">
        <v>62.0</v>
      </c>
      <c r="G28" s="18">
        <v>62.0</v>
      </c>
      <c r="H28" s="18">
        <v>62.0</v>
      </c>
      <c r="I28" s="18">
        <v>62.0</v>
      </c>
      <c r="J28" s="18"/>
      <c r="K28" s="18"/>
      <c r="L28" s="18" t="s">
        <v>83</v>
      </c>
      <c r="M28" s="6">
        <f>SUM(C28:L28)</f>
        <v>434</v>
      </c>
      <c r="N28" s="49"/>
    </row>
    <row r="29" spans="1:14" ht="15.0" customHeight="1" x14ac:dyDescent="0.15">
      <c r="A29" s="18">
        <v>19.0</v>
      </c>
      <c r="B29" s="22">
        <f>'STUFFING REPORT'!B39</f>
        <v>0</v>
      </c>
      <c r="C29" s="18">
        <v>62.0</v>
      </c>
      <c r="D29" s="18">
        <v>62.0</v>
      </c>
      <c r="E29" s="18">
        <v>62.0</v>
      </c>
      <c r="F29" s="18">
        <v>62.0</v>
      </c>
      <c r="G29" s="18">
        <v>62.0</v>
      </c>
      <c r="H29" s="18">
        <v>62.0</v>
      </c>
      <c r="I29" s="18">
        <v>62.0</v>
      </c>
      <c r="J29" s="18"/>
      <c r="K29" s="18"/>
      <c r="L29" s="18" t="s">
        <v>83</v>
      </c>
      <c r="M29" s="6">
        <f>SUM(C29:L29)</f>
        <v>434</v>
      </c>
      <c r="N29" s="49"/>
    </row>
    <row r="30" spans="1:14" ht="15.0" customHeight="1" x14ac:dyDescent="0.15">
      <c r="A30" s="18">
        <v>20.0</v>
      </c>
      <c r="B30" s="22">
        <f>'STUFFING REPORT'!B40</f>
        <v>0</v>
      </c>
      <c r="C30" s="18">
        <v>62.0</v>
      </c>
      <c r="D30" s="18">
        <v>62.0</v>
      </c>
      <c r="E30" s="18">
        <v>62.0</v>
      </c>
      <c r="F30" s="18">
        <v>62.0</v>
      </c>
      <c r="G30" s="18">
        <v>62.0</v>
      </c>
      <c r="H30" s="18">
        <v>62.0</v>
      </c>
      <c r="I30" s="18">
        <v>62.0</v>
      </c>
      <c r="J30" s="24"/>
      <c r="K30" s="24"/>
      <c r="L30" s="18" t="s">
        <v>83</v>
      </c>
      <c r="M30" s="6">
        <f>SUM(C30:L30)</f>
        <v>434</v>
      </c>
      <c r="N30" s="50"/>
    </row>
    <row r="31" spans="1:14" ht="15.0" customHeight="1" x14ac:dyDescent="0.15">
      <c r="A31" s="18">
        <v>21.0</v>
      </c>
      <c r="B31" s="22">
        <f>'STUFFING REPORT'!B41</f>
        <v>0</v>
      </c>
      <c r="C31" s="18">
        <v>62.0</v>
      </c>
      <c r="D31" s="18">
        <v>62.0</v>
      </c>
      <c r="E31" s="18">
        <v>62.0</v>
      </c>
      <c r="F31" s="18">
        <v>62.0</v>
      </c>
      <c r="G31" s="18">
        <v>62.0</v>
      </c>
      <c r="H31" s="18">
        <v>62.0</v>
      </c>
      <c r="I31" s="6">
        <v>62.0</v>
      </c>
      <c r="J31" s="51"/>
      <c r="K31" s="51"/>
      <c r="L31" s="45" t="s">
        <v>83</v>
      </c>
      <c r="M31" s="6">
        <f>SUM(C31:L31)</f>
        <v>434</v>
      </c>
      <c r="N31" s="51"/>
    </row>
    <row r="32" spans="1:14" ht="15.0" customHeight="1" x14ac:dyDescent="0.15">
      <c r="A32" s="18">
        <v>22.0</v>
      </c>
      <c r="B32" s="22">
        <f>'STUFFING REPORT'!B42</f>
        <v>0</v>
      </c>
      <c r="C32" s="18">
        <v>62.0</v>
      </c>
      <c r="D32" s="18">
        <v>62.0</v>
      </c>
      <c r="E32" s="18">
        <v>62.0</v>
      </c>
      <c r="F32" s="18">
        <v>62.0</v>
      </c>
      <c r="G32" s="18">
        <v>62.0</v>
      </c>
      <c r="H32" s="18">
        <v>62.0</v>
      </c>
      <c r="I32" s="6">
        <v>62.0</v>
      </c>
      <c r="J32" s="51"/>
      <c r="K32" s="51"/>
      <c r="L32" s="45" t="s">
        <v>83</v>
      </c>
      <c r="M32" s="6">
        <f>SUM(C32:L32)</f>
        <v>434</v>
      </c>
      <c r="N32" s="51"/>
    </row>
    <row r="33" spans="1:14" ht="15.0" customHeight="1" x14ac:dyDescent="0.15">
      <c r="A33" s="18">
        <v>23.0</v>
      </c>
      <c r="B33" s="22">
        <f>'STUFFING REPORT'!B43</f>
        <v>0</v>
      </c>
      <c r="C33" s="18">
        <v>62.0</v>
      </c>
      <c r="D33" s="18">
        <v>62.0</v>
      </c>
      <c r="E33" s="18">
        <v>62.0</v>
      </c>
      <c r="F33" s="18">
        <v>62.0</v>
      </c>
      <c r="G33" s="18">
        <v>62.0</v>
      </c>
      <c r="H33" s="18">
        <v>62.0</v>
      </c>
      <c r="I33" s="6">
        <v>62.0</v>
      </c>
      <c r="J33" s="51"/>
      <c r="K33" s="51"/>
      <c r="L33" s="45" t="s">
        <v>83</v>
      </c>
      <c r="M33" s="6">
        <f>SUM(C33:L33)</f>
        <v>434</v>
      </c>
      <c r="N33" s="51"/>
    </row>
    <row r="34" spans="1:14" ht="15.0" customHeight="1" x14ac:dyDescent="0.15">
      <c r="A34" s="18">
        <v>24.0</v>
      </c>
      <c r="B34" s="22">
        <f>'STUFFING REPORT'!B44</f>
        <v>0</v>
      </c>
      <c r="C34" s="18">
        <v>62.0</v>
      </c>
      <c r="D34" s="18">
        <v>62.0</v>
      </c>
      <c r="E34" s="18">
        <v>62.0</v>
      </c>
      <c r="F34" s="18">
        <v>62.0</v>
      </c>
      <c r="G34" s="18">
        <v>62.0</v>
      </c>
      <c r="H34" s="18">
        <v>62.0</v>
      </c>
      <c r="I34" s="6">
        <v>62.0</v>
      </c>
      <c r="J34" s="51"/>
      <c r="K34" s="51"/>
      <c r="L34" s="45" t="s">
        <v>83</v>
      </c>
      <c r="M34" s="6">
        <f>SUM(C34:L34)</f>
        <v>434</v>
      </c>
      <c r="N34" s="51"/>
    </row>
    <row r="35" spans="1:14" ht="15.0" customHeight="1" x14ac:dyDescent="0.15">
      <c r="A35" s="18">
        <v>25.0</v>
      </c>
      <c r="B35" s="22">
        <f>'STUFFING REPORT'!B45</f>
        <v>0</v>
      </c>
      <c r="C35" s="18">
        <v>62.0</v>
      </c>
      <c r="D35" s="18">
        <v>62.0</v>
      </c>
      <c r="E35" s="18">
        <v>62.0</v>
      </c>
      <c r="F35" s="18">
        <v>62.0</v>
      </c>
      <c r="G35" s="18">
        <v>62.0</v>
      </c>
      <c r="H35" s="18">
        <v>62.0</v>
      </c>
      <c r="I35" s="6">
        <v>62.0</v>
      </c>
      <c r="J35" s="51"/>
      <c r="K35" s="51"/>
      <c r="L35" s="45" t="s">
        <v>83</v>
      </c>
      <c r="M35" s="6">
        <f>SUM(C35:L35)</f>
        <v>434</v>
      </c>
      <c r="N35" s="51"/>
    </row>
    <row r="36" spans="1:14" ht="15.0" customHeight="1" x14ac:dyDescent="0.15">
      <c r="A36" s="18">
        <v>26.0</v>
      </c>
      <c r="B36" s="22">
        <f>'STUFFING REPORT'!B46</f>
        <v>0</v>
      </c>
      <c r="C36" s="18">
        <v>62.0</v>
      </c>
      <c r="D36" s="18">
        <v>62.0</v>
      </c>
      <c r="E36" s="18">
        <v>62.0</v>
      </c>
      <c r="F36" s="18">
        <v>62.0</v>
      </c>
      <c r="G36" s="18">
        <v>62.0</v>
      </c>
      <c r="H36" s="18">
        <v>62.0</v>
      </c>
      <c r="I36" s="6">
        <v>62.0</v>
      </c>
      <c r="J36" s="51"/>
      <c r="K36" s="51"/>
      <c r="L36" s="45" t="s">
        <v>83</v>
      </c>
      <c r="M36" s="6">
        <f>SUM(C36:L36)</f>
        <v>434</v>
      </c>
      <c r="N36" s="51"/>
    </row>
    <row r="37" spans="1:14" ht="15.0" customHeight="1" x14ac:dyDescent="0.15">
      <c r="A37" s="18">
        <v>27.0</v>
      </c>
      <c r="B37" s="22">
        <f>'STUFFING REPORT'!B47</f>
        <v>0</v>
      </c>
      <c r="C37" s="18">
        <v>62.0</v>
      </c>
      <c r="D37" s="18">
        <v>62.0</v>
      </c>
      <c r="E37" s="18">
        <v>62.0</v>
      </c>
      <c r="F37" s="18">
        <v>62.0</v>
      </c>
      <c r="G37" s="18">
        <v>62.0</v>
      </c>
      <c r="H37" s="18">
        <v>62.0</v>
      </c>
      <c r="I37" s="6">
        <v>62.0</v>
      </c>
      <c r="J37" s="51"/>
      <c r="K37" s="51"/>
      <c r="L37" s="45" t="s">
        <v>83</v>
      </c>
      <c r="M37" s="6">
        <f>SUM(C37:L37)</f>
        <v>434</v>
      </c>
      <c r="N37" s="51"/>
    </row>
    <row r="38" spans="1:14" ht="15.0" customHeight="1" x14ac:dyDescent="0.15">
      <c r="A38" s="18">
        <v>28.0</v>
      </c>
      <c r="B38" s="22">
        <f>'STUFFING REPORT'!B48</f>
        <v>0</v>
      </c>
      <c r="C38" s="18">
        <v>62.0</v>
      </c>
      <c r="D38" s="18">
        <v>62.0</v>
      </c>
      <c r="E38" s="18">
        <v>62.0</v>
      </c>
      <c r="F38" s="18">
        <v>62.0</v>
      </c>
      <c r="G38" s="18">
        <v>62.0</v>
      </c>
      <c r="H38" s="18">
        <v>62.0</v>
      </c>
      <c r="I38" s="6">
        <v>62.0</v>
      </c>
      <c r="J38" s="51"/>
      <c r="K38" s="51"/>
      <c r="L38" s="45" t="s">
        <v>83</v>
      </c>
      <c r="M38" s="6">
        <f>SUM(C38:L38)</f>
        <v>434</v>
      </c>
      <c r="N38" s="51"/>
    </row>
    <row r="39" spans="1:14" ht="15.0" customHeight="1" x14ac:dyDescent="0.15">
      <c r="A39" s="18">
        <v>29.0</v>
      </c>
      <c r="B39" s="22">
        <f>'STUFFING REPORT'!B49</f>
        <v>0</v>
      </c>
      <c r="C39" s="18">
        <v>62.0</v>
      </c>
      <c r="D39" s="18">
        <v>62.0</v>
      </c>
      <c r="E39" s="18">
        <v>62.0</v>
      </c>
      <c r="F39" s="18">
        <v>62.0</v>
      </c>
      <c r="G39" s="18">
        <v>62.0</v>
      </c>
      <c r="H39" s="18">
        <v>62.0</v>
      </c>
      <c r="I39" s="6">
        <v>62.0</v>
      </c>
      <c r="J39" s="51"/>
      <c r="K39" s="51"/>
      <c r="L39" s="45" t="s">
        <v>83</v>
      </c>
      <c r="M39" s="6">
        <f>SUM(C39:L39)</f>
        <v>434</v>
      </c>
      <c r="N39" s="51"/>
    </row>
    <row r="40" spans="1:14" ht="15.0" customHeight="1" x14ac:dyDescent="0.15">
      <c r="A40" s="18">
        <v>30.0</v>
      </c>
      <c r="B40" s="22">
        <f>'STUFFING REPORT'!B50</f>
        <v>0</v>
      </c>
      <c r="C40" s="18">
        <v>62.0</v>
      </c>
      <c r="D40" s="18">
        <v>62.0</v>
      </c>
      <c r="E40" s="18">
        <v>62.0</v>
      </c>
      <c r="F40" s="18">
        <v>62.0</v>
      </c>
      <c r="G40" s="18">
        <v>62.0</v>
      </c>
      <c r="H40" s="18">
        <v>62.0</v>
      </c>
      <c r="I40" s="6">
        <v>62.0</v>
      </c>
      <c r="J40" s="51"/>
      <c r="K40" s="51"/>
      <c r="L40" s="45" t="s">
        <v>83</v>
      </c>
      <c r="M40" s="6">
        <f>SUM(C40:L40)</f>
        <v>434</v>
      </c>
      <c r="N40" s="52"/>
    </row>
    <row r="41" spans="1:14" ht="15.0" customHeight="1" x14ac:dyDescent="0.15">
      <c r="A41" s="18"/>
      <c r="B41" s="22"/>
      <c r="C41" s="18"/>
      <c r="D41" s="18"/>
      <c r="E41" s="18"/>
      <c r="F41" s="18"/>
      <c r="G41" s="18"/>
      <c r="H41" s="18"/>
      <c r="I41" s="18"/>
      <c r="J41" s="146" t="s">
        <v>32</v>
      </c>
      <c r="K41" s="140"/>
      <c r="L41" s="66"/>
      <c r="M41" s="6">
        <f>SUM(M11:M40)</f>
        <v>13020</v>
      </c>
      <c r="N41" s="49">
        <f>SUM(N11:N40)</f>
        <v>0</v>
      </c>
    </row>
  </sheetData>
  <mergeCells count="23">
    <mergeCell ref="B2:M2"/>
    <mergeCell ref="M9:M10"/>
    <mergeCell ref="A6:B6"/>
    <mergeCell ref="C4:E4"/>
    <mergeCell ref="A9:A10"/>
    <mergeCell ref="C9:L9"/>
    <mergeCell ref="F4:G4"/>
    <mergeCell ref="A7:B7"/>
    <mergeCell ref="J41:L41"/>
    <mergeCell ref="N9:N10"/>
    <mergeCell ref="C5:E5"/>
    <mergeCell ref="H4:J4"/>
    <mergeCell ref="B9:B10"/>
    <mergeCell ref="H6:J6"/>
    <mergeCell ref="A4:B4"/>
    <mergeCell ref="H5:J5"/>
    <mergeCell ref="C7:E7"/>
    <mergeCell ref="A5:B5"/>
    <mergeCell ref="F7:G7"/>
    <mergeCell ref="C6:E6"/>
    <mergeCell ref="H7:J7"/>
    <mergeCell ref="F6:G6"/>
    <mergeCell ref="F5:G5"/>
  </mergeCells>
  <phoneticPr fontId="0" type="noConversion"/>
  <pageMargins left="0.7499062639521802" right="0.7499062639521802" top="0.9998749560258521" bottom="0.9998749560258521" header="0.0" footer="0.0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M39"/>
  <sheetViews>
    <sheetView zoomScale="90" zoomScaleNormal="90" topLeftCell="A1" workbookViewId="0">
      <selection activeCell="F9" activeCellId="0" sqref="F9"/>
    </sheetView>
  </sheetViews>
  <sheetFormatPr defaultRowHeight="15.0" customHeight="1" defaultColWidth="13.0" x14ac:dyDescent="0.15"/>
  <cols>
    <col min="1" max="1" width="10.75" customWidth="1" style="1"/>
    <col min="2" max="2" width="17.75" customWidth="1" style="1"/>
    <col min="3" max="3" width="13.625" customWidth="1" style="1"/>
    <col min="4" max="4" width="11.375" customWidth="1" style="1"/>
    <col min="5" max="5" width="10.75" customWidth="1" style="1"/>
    <col min="6" max="6" width="10.0" customWidth="1" style="1"/>
    <col min="7" max="7" width="10.25" customWidth="1" style="1"/>
    <col min="8" max="8" width="10.5" customWidth="1" style="1"/>
    <col min="9" max="9" width="10.0" customWidth="1" style="1"/>
    <col min="10" max="10" width="14.625" customWidth="1" style="1"/>
    <col min="11" max="11" width="13.0" style="1"/>
    <col min="12" max="12" width="12.375" customWidth="1" style="1"/>
    <col min="13" max="13" width="10.0" customWidth="1" style="1"/>
  </cols>
  <sheetData>
    <row r="2" spans="1:12" ht="21.0" x14ac:dyDescent="0.15">
      <c r="A2" s="63" t="s">
        <v>84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4" spans="1:13" x14ac:dyDescent="0.15">
      <c r="A4" s="23" t="s">
        <v>85</v>
      </c>
      <c r="B4" s="67">
        <f>'STUFFING REPORT'!E8</f>
        <v>0</v>
      </c>
      <c r="C4" s="68"/>
      <c r="D4" s="66"/>
      <c r="E4" s="67" t="s">
        <v>86</v>
      </c>
      <c r="F4" s="68"/>
      <c r="G4" s="68"/>
      <c r="H4" s="66"/>
      <c r="I4" s="67">
        <f>'STUFFING REPORT'!E13</f>
        <v>0</v>
      </c>
      <c r="J4" s="68"/>
      <c r="K4" s="68"/>
      <c r="L4" s="66"/>
      <c r="M4" s="54"/>
    </row>
    <row r="5" spans="1:12" x14ac:dyDescent="0.15">
      <c r="A5" s="23" t="s">
        <v>9</v>
      </c>
      <c r="B5" s="67">
        <f>'STUFFING REPORT'!E10</f>
        <v>0</v>
      </c>
      <c r="C5" s="68"/>
      <c r="D5" s="66"/>
      <c r="E5" s="67" t="s">
        <v>87</v>
      </c>
      <c r="F5" s="68"/>
      <c r="G5" s="68"/>
      <c r="H5" s="66"/>
      <c r="I5" s="18" t="s">
        <v>88</v>
      </c>
      <c r="J5" s="55">
        <f>'STUFFING REPORT'!F6</f>
        <v>45784</v>
      </c>
      <c r="K5" s="23" t="s">
        <v>89</v>
      </c>
      <c r="L5" s="56">
        <f>'STUFFING REPORT'!D21</f>
        <v>0</v>
      </c>
    </row>
    <row r="6" spans="1:12" x14ac:dyDescent="0.15">
      <c r="A6" s="23" t="s">
        <v>90</v>
      </c>
      <c r="B6" s="67">
        <f>'STUFFING REPORT'!E14</f>
        <v>0</v>
      </c>
      <c r="C6" s="68"/>
      <c r="D6" s="66"/>
      <c r="E6" s="67" t="s">
        <v>91</v>
      </c>
      <c r="F6" s="68"/>
      <c r="G6" s="68"/>
      <c r="H6" s="66"/>
      <c r="I6" s="18" t="s">
        <v>88</v>
      </c>
      <c r="J6" s="55"/>
      <c r="K6" s="23" t="s">
        <v>89</v>
      </c>
      <c r="L6" s="56">
        <f>'STUFFING REPORT'!E30</f>
        <v>0</v>
      </c>
    </row>
    <row r="8" spans="1:12" ht="18.95" customHeight="1" x14ac:dyDescent="0.15">
      <c r="A8" s="152" t="s">
        <v>92</v>
      </c>
      <c r="B8" s="152" t="s">
        <v>93</v>
      </c>
      <c r="C8" s="151" t="s">
        <v>94</v>
      </c>
      <c r="D8" s="151" t="s">
        <v>95</v>
      </c>
      <c r="E8" s="151" t="s">
        <v>96</v>
      </c>
      <c r="F8" s="69" t="s">
        <v>97</v>
      </c>
      <c r="G8" s="68"/>
      <c r="H8" s="68"/>
      <c r="I8" s="68"/>
      <c r="J8" s="66"/>
      <c r="K8" s="151" t="s">
        <v>98</v>
      </c>
      <c r="L8" s="151" t="s">
        <v>99</v>
      </c>
    </row>
    <row r="9" spans="1:12" ht="45.95" customHeight="1" x14ac:dyDescent="0.15">
      <c r="A9" s="143"/>
      <c r="B9" s="143"/>
      <c r="C9" s="143"/>
      <c r="D9" s="143"/>
      <c r="E9" s="143"/>
      <c r="F9" s="58" t="s">
        <v>100</v>
      </c>
      <c r="G9" s="59"/>
      <c r="H9" s="59"/>
      <c r="I9" s="18"/>
      <c r="J9" s="18"/>
      <c r="K9" s="143"/>
      <c r="L9" s="143"/>
    </row>
    <row r="10" spans="1:12" x14ac:dyDescent="0.15">
      <c r="A10" s="18">
        <v>1.0</v>
      </c>
      <c r="B10" s="22">
        <f>'STUFFING REPORT'!B21</f>
        <v>0</v>
      </c>
      <c r="C10" s="18">
        <f>'STUFFING REPORT'!F21</f>
        <v>520</v>
      </c>
      <c r="D10" s="18"/>
      <c r="E10" s="18">
        <f>C10*D10</f>
        <v>0</v>
      </c>
      <c r="F10" s="18">
        <v>0.012</v>
      </c>
      <c r="G10" s="18"/>
      <c r="H10" s="18"/>
      <c r="I10" s="18"/>
      <c r="J10" s="18"/>
      <c r="K10" s="18"/>
      <c r="L10" s="18">
        <f>SUM(E10:K10)</f>
        <v>0.012</v>
      </c>
    </row>
    <row r="11" spans="1:12" x14ac:dyDescent="0.15">
      <c r="A11" s="18">
        <v>2.0</v>
      </c>
      <c r="B11" s="22">
        <f>'STUFFING REPORT'!B22</f>
        <v>0</v>
      </c>
      <c r="C11" s="18">
        <f>'STUFFING REPORT'!F22</f>
        <v>520</v>
      </c>
      <c r="D11" s="18"/>
      <c r="E11" s="18">
        <f>C11*D11</f>
        <v>0</v>
      </c>
      <c r="F11" s="18">
        <v>0.012</v>
      </c>
      <c r="G11" s="18"/>
      <c r="H11" s="18"/>
      <c r="I11" s="18"/>
      <c r="J11" s="18"/>
      <c r="K11" s="18"/>
      <c r="L11" s="18">
        <f>SUM(E11:K11)</f>
        <v>0.012</v>
      </c>
    </row>
    <row r="12" spans="1:12" x14ac:dyDescent="0.15">
      <c r="A12" s="18">
        <v>3.0</v>
      </c>
      <c r="B12" s="22">
        <f>'STUFFING REPORT'!B23</f>
        <v>0</v>
      </c>
      <c r="C12" s="18">
        <f>'STUFFING REPORT'!F23</f>
        <v>520</v>
      </c>
      <c r="D12" s="18"/>
      <c r="E12" s="18">
        <f>C12*D12</f>
        <v>0</v>
      </c>
      <c r="F12" s="18">
        <v>0.012</v>
      </c>
      <c r="G12" s="18"/>
      <c r="H12" s="18"/>
      <c r="I12" s="18"/>
      <c r="J12" s="18"/>
      <c r="K12" s="18"/>
      <c r="L12" s="18">
        <f>SUM(E12:K12)</f>
        <v>0.012</v>
      </c>
    </row>
    <row r="13" spans="1:12" x14ac:dyDescent="0.15">
      <c r="A13" s="18">
        <v>4.0</v>
      </c>
      <c r="B13" s="22">
        <f>'STUFFING REPORT'!B24</f>
        <v>0</v>
      </c>
      <c r="C13" s="18">
        <f>'STUFFING REPORT'!F24</f>
        <v>520</v>
      </c>
      <c r="D13" s="18"/>
      <c r="E13" s="18">
        <f>C13*D13</f>
        <v>0</v>
      </c>
      <c r="F13" s="18">
        <v>0.012</v>
      </c>
      <c r="G13" s="18"/>
      <c r="H13" s="18"/>
      <c r="I13" s="18"/>
      <c r="J13" s="18"/>
      <c r="K13" s="18"/>
      <c r="L13" s="18">
        <f>SUM(E13:K13)</f>
        <v>0.012</v>
      </c>
    </row>
    <row r="14" spans="1:12" x14ac:dyDescent="0.15">
      <c r="A14" s="18">
        <v>5.0</v>
      </c>
      <c r="B14" s="22">
        <f>'STUFFING REPORT'!B25</f>
        <v>0</v>
      </c>
      <c r="C14" s="18">
        <f>'STUFFING REPORT'!F25</f>
        <v>520</v>
      </c>
      <c r="D14" s="18"/>
      <c r="E14" s="18">
        <f>C14*D14</f>
        <v>0</v>
      </c>
      <c r="F14" s="18">
        <v>0.012</v>
      </c>
      <c r="G14" s="18"/>
      <c r="H14" s="18"/>
      <c r="I14" s="18"/>
      <c r="J14" s="18"/>
      <c r="K14" s="18"/>
      <c r="L14" s="18">
        <f>SUM(E14:K14)</f>
        <v>0.012</v>
      </c>
    </row>
    <row r="15" spans="1:12" x14ac:dyDescent="0.15">
      <c r="A15" s="18">
        <v>6.0</v>
      </c>
      <c r="B15" s="22">
        <f>'STUFFING REPORT'!B26</f>
        <v>0</v>
      </c>
      <c r="C15" s="18">
        <f>'STUFFING REPORT'!F26</f>
        <v>520</v>
      </c>
      <c r="D15" s="18"/>
      <c r="E15" s="18">
        <f>C15*D15</f>
        <v>0</v>
      </c>
      <c r="F15" s="18">
        <v>0.012</v>
      </c>
      <c r="G15" s="18"/>
      <c r="H15" s="18"/>
      <c r="I15" s="18"/>
      <c r="J15" s="18"/>
      <c r="K15" s="18"/>
      <c r="L15" s="18">
        <f>SUM(E15:K15)</f>
        <v>0.012</v>
      </c>
    </row>
    <row r="16" spans="1:12" x14ac:dyDescent="0.15">
      <c r="A16" s="18">
        <v>7.0</v>
      </c>
      <c r="B16" s="22">
        <f>'STUFFING REPORT'!B27</f>
        <v>0</v>
      </c>
      <c r="C16" s="18">
        <f>'STUFFING REPORT'!F27</f>
        <v>520</v>
      </c>
      <c r="D16" s="18"/>
      <c r="E16" s="18">
        <f>C16*D16</f>
        <v>0</v>
      </c>
      <c r="F16" s="18">
        <v>0.012</v>
      </c>
      <c r="G16" s="18"/>
      <c r="H16" s="18"/>
      <c r="I16" s="18"/>
      <c r="J16" s="18"/>
      <c r="K16" s="18"/>
      <c r="L16" s="18">
        <f>SUM(E16:K16)</f>
        <v>0.012</v>
      </c>
    </row>
    <row r="17" spans="1:12" x14ac:dyDescent="0.15">
      <c r="A17" s="18">
        <v>8.0</v>
      </c>
      <c r="B17" s="22">
        <f>'STUFFING REPORT'!B28</f>
        <v>0</v>
      </c>
      <c r="C17" s="18">
        <f>'STUFFING REPORT'!F28</f>
        <v>520</v>
      </c>
      <c r="D17" s="18"/>
      <c r="E17" s="18">
        <f>C17*D17</f>
        <v>0</v>
      </c>
      <c r="F17" s="18">
        <v>0.012</v>
      </c>
      <c r="G17" s="18"/>
      <c r="H17" s="18"/>
      <c r="I17" s="18"/>
      <c r="J17" s="18"/>
      <c r="K17" s="18"/>
      <c r="L17" s="18">
        <f>SUM(E17:K17)</f>
        <v>0.012</v>
      </c>
    </row>
    <row r="18" spans="1:12" x14ac:dyDescent="0.15">
      <c r="A18" s="18">
        <v>9.0</v>
      </c>
      <c r="B18" s="22">
        <f>'STUFFING REPORT'!B29</f>
        <v>0</v>
      </c>
      <c r="C18" s="18">
        <f>'STUFFING REPORT'!F29</f>
        <v>520</v>
      </c>
      <c r="D18" s="18"/>
      <c r="E18" s="18">
        <f>C18*D18</f>
        <v>0</v>
      </c>
      <c r="F18" s="18">
        <v>0.012</v>
      </c>
      <c r="G18" s="18"/>
      <c r="H18" s="18"/>
      <c r="I18" s="18"/>
      <c r="J18" s="18"/>
      <c r="K18" s="18"/>
      <c r="L18" s="18">
        <f>SUM(E18:K18)</f>
        <v>0.012</v>
      </c>
    </row>
    <row r="19" spans="1:12" x14ac:dyDescent="0.15">
      <c r="A19" s="18">
        <v>10.0</v>
      </c>
      <c r="B19" s="22">
        <f>'STUFFING REPORT'!B30</f>
        <v>0</v>
      </c>
      <c r="C19" s="18">
        <f>'STUFFING REPORT'!F30</f>
        <v>520</v>
      </c>
      <c r="D19" s="18"/>
      <c r="E19" s="18">
        <f>C19*D19</f>
        <v>0</v>
      </c>
      <c r="F19" s="18">
        <v>0.012</v>
      </c>
      <c r="G19" s="18"/>
      <c r="H19" s="18"/>
      <c r="I19" s="18"/>
      <c r="J19" s="18"/>
      <c r="K19" s="18"/>
      <c r="L19" s="18">
        <f>SUM(E19:K19)</f>
        <v>0.012</v>
      </c>
    </row>
    <row r="20" spans="1:12" x14ac:dyDescent="0.15">
      <c r="A20" s="18">
        <v>11.0</v>
      </c>
      <c r="B20" s="22">
        <f>'STUFFING REPORT'!B31</f>
        <v>0</v>
      </c>
      <c r="C20" s="18">
        <f>'STUFFING REPORT'!F31</f>
        <v>520</v>
      </c>
      <c r="D20" s="18"/>
      <c r="E20" s="18">
        <f>C20*D20</f>
        <v>0</v>
      </c>
      <c r="F20" s="18">
        <v>0.012</v>
      </c>
      <c r="G20" s="18"/>
      <c r="H20" s="18"/>
      <c r="I20" s="18"/>
      <c r="J20" s="18"/>
      <c r="K20" s="18"/>
      <c r="L20" s="18">
        <f>SUM(E20:K20)</f>
        <v>0.012</v>
      </c>
    </row>
    <row r="21" spans="1:12" x14ac:dyDescent="0.15">
      <c r="A21" s="18">
        <v>12.0</v>
      </c>
      <c r="B21" s="22">
        <f>'STUFFING REPORT'!B32</f>
        <v>0</v>
      </c>
      <c r="C21" s="18">
        <f>'STUFFING REPORT'!F32</f>
        <v>520</v>
      </c>
      <c r="D21" s="18"/>
      <c r="E21" s="18">
        <f>C21*D21</f>
        <v>0</v>
      </c>
      <c r="F21" s="18">
        <v>0.012</v>
      </c>
      <c r="G21" s="18"/>
      <c r="H21" s="18"/>
      <c r="I21" s="18"/>
      <c r="J21" s="18"/>
      <c r="K21" s="18"/>
      <c r="L21" s="18">
        <f>SUM(E21:K21)</f>
        <v>0.012</v>
      </c>
    </row>
    <row r="22" spans="1:12" x14ac:dyDescent="0.15">
      <c r="A22" s="18">
        <v>13.0</v>
      </c>
      <c r="B22" s="22">
        <f>'STUFFING REPORT'!B33</f>
        <v>0</v>
      </c>
      <c r="C22" s="18">
        <f>'STUFFING REPORT'!F33</f>
        <v>520</v>
      </c>
      <c r="D22" s="18"/>
      <c r="E22" s="18">
        <f>C22*D22</f>
        <v>0</v>
      </c>
      <c r="F22" s="18">
        <v>0.012</v>
      </c>
      <c r="G22" s="18"/>
      <c r="H22" s="18"/>
      <c r="I22" s="18"/>
      <c r="J22" s="18"/>
      <c r="K22" s="18"/>
      <c r="L22" s="18">
        <f>SUM(E22:K22)</f>
        <v>0.012</v>
      </c>
    </row>
    <row r="23" spans="1:12" x14ac:dyDescent="0.15">
      <c r="A23" s="18">
        <v>14.0</v>
      </c>
      <c r="B23" s="22">
        <f>'STUFFING REPORT'!B34</f>
        <v>0</v>
      </c>
      <c r="C23" s="18">
        <f>'STUFFING REPORT'!F34</f>
        <v>520</v>
      </c>
      <c r="D23" s="18"/>
      <c r="E23" s="18">
        <f>C23*D23</f>
        <v>0</v>
      </c>
      <c r="F23" s="18">
        <v>0.012</v>
      </c>
      <c r="G23" s="18"/>
      <c r="H23" s="18"/>
      <c r="I23" s="18"/>
      <c r="J23" s="18"/>
      <c r="K23" s="18"/>
      <c r="L23" s="18">
        <f>SUM(E23:K23)</f>
        <v>0.012</v>
      </c>
    </row>
    <row r="24" spans="1:12" x14ac:dyDescent="0.15">
      <c r="A24" s="18">
        <v>15.0</v>
      </c>
      <c r="B24" s="22">
        <f>'STUFFING REPORT'!B35</f>
        <v>0</v>
      </c>
      <c r="C24" s="18">
        <f>'STUFFING REPORT'!F35</f>
        <v>520</v>
      </c>
      <c r="D24" s="18"/>
      <c r="E24" s="18">
        <f>C24*D24</f>
        <v>0</v>
      </c>
      <c r="F24" s="18">
        <v>0.012</v>
      </c>
      <c r="G24" s="18"/>
      <c r="H24" s="18"/>
      <c r="I24" s="18"/>
      <c r="J24" s="18"/>
      <c r="K24" s="18"/>
      <c r="L24" s="18">
        <f>SUM(E24:K24)</f>
        <v>0.012</v>
      </c>
    </row>
    <row r="25" spans="1:12" x14ac:dyDescent="0.15">
      <c r="A25" s="18">
        <v>16.0</v>
      </c>
      <c r="B25" s="22">
        <f>'STUFFING REPORT'!B36</f>
        <v>0</v>
      </c>
      <c r="C25" s="18">
        <f>'STUFFING REPORT'!F36</f>
        <v>520</v>
      </c>
      <c r="D25" s="18"/>
      <c r="E25" s="18">
        <f>C25*D25</f>
        <v>0</v>
      </c>
      <c r="F25" s="18">
        <v>0.012</v>
      </c>
      <c r="G25" s="18"/>
      <c r="H25" s="18"/>
      <c r="I25" s="18"/>
      <c r="J25" s="18"/>
      <c r="K25" s="18"/>
      <c r="L25" s="18">
        <f>SUM(E25:K25)</f>
        <v>0.012</v>
      </c>
    </row>
    <row r="26" spans="1:12" x14ac:dyDescent="0.15">
      <c r="A26" s="18">
        <v>17.0</v>
      </c>
      <c r="B26" s="22">
        <f>'STUFFING REPORT'!B37</f>
        <v>0</v>
      </c>
      <c r="C26" s="18">
        <f>'STUFFING REPORT'!F37</f>
        <v>520</v>
      </c>
      <c r="D26" s="18"/>
      <c r="E26" s="18">
        <f>C26*D26</f>
        <v>0</v>
      </c>
      <c r="F26" s="18">
        <v>0.012</v>
      </c>
      <c r="G26" s="18"/>
      <c r="H26" s="18"/>
      <c r="I26" s="18"/>
      <c r="J26" s="18"/>
      <c r="K26" s="18"/>
      <c r="L26" s="18">
        <f>SUM(E26:K26)</f>
        <v>0.012</v>
      </c>
    </row>
    <row r="27" spans="1:12" x14ac:dyDescent="0.15">
      <c r="A27" s="18">
        <v>18.0</v>
      </c>
      <c r="B27" s="22">
        <f>'STUFFING REPORT'!B38</f>
        <v>0</v>
      </c>
      <c r="C27" s="18">
        <f>'STUFFING REPORT'!F38</f>
        <v>520</v>
      </c>
      <c r="D27" s="18"/>
      <c r="E27" s="18">
        <f>C27*D27</f>
        <v>0</v>
      </c>
      <c r="F27" s="18">
        <v>0.012</v>
      </c>
      <c r="G27" s="18"/>
      <c r="H27" s="18"/>
      <c r="I27" s="18"/>
      <c r="J27" s="18"/>
      <c r="K27" s="18"/>
      <c r="L27" s="18">
        <f>SUM(E27:K27)</f>
        <v>0.012</v>
      </c>
    </row>
    <row r="28" spans="1:12" ht="15.0" customHeight="1" x14ac:dyDescent="0.15">
      <c r="A28" s="18">
        <v>19.0</v>
      </c>
      <c r="B28" s="22">
        <f>'STUFFING REPORT'!B39</f>
        <v>0</v>
      </c>
      <c r="C28" s="18">
        <f>'STUFFING REPORT'!F39</f>
        <v>520</v>
      </c>
      <c r="D28" s="18"/>
      <c r="E28" s="18">
        <f>C28*D28</f>
        <v>0</v>
      </c>
      <c r="F28" s="18">
        <v>0.012</v>
      </c>
      <c r="G28" s="18"/>
      <c r="H28" s="18"/>
      <c r="I28" s="18"/>
      <c r="J28" s="18"/>
      <c r="K28" s="18"/>
      <c r="L28" s="18">
        <f>SUM(E28:K28)</f>
        <v>0.012</v>
      </c>
    </row>
    <row r="29" spans="1:12" ht="15.0" customHeight="1" x14ac:dyDescent="0.15">
      <c r="A29" s="18">
        <v>20.0</v>
      </c>
      <c r="B29" s="22">
        <f>'STUFFING REPORT'!B40</f>
        <v>0</v>
      </c>
      <c r="C29" s="18">
        <f>'STUFFING REPORT'!F49</f>
        <v>520</v>
      </c>
      <c r="D29" s="18"/>
      <c r="E29" s="18">
        <f>C29*D29</f>
        <v>0</v>
      </c>
      <c r="F29" s="18">
        <v>0.012</v>
      </c>
      <c r="G29" s="18"/>
      <c r="H29" s="18"/>
      <c r="I29" s="18"/>
      <c r="J29" s="18"/>
      <c r="K29" s="18"/>
      <c r="L29" s="18">
        <f>SUM(E29:K29)</f>
        <v>0.012</v>
      </c>
    </row>
    <row r="30" spans="1:12" ht="15.0" customHeight="1" x14ac:dyDescent="0.15">
      <c r="A30" s="18">
        <v>21.0</v>
      </c>
      <c r="B30" s="22">
        <f>'STUFFING REPORT'!B41</f>
        <v>0</v>
      </c>
      <c r="C30" s="18">
        <f>'STUFFING REPORT'!F41</f>
        <v>520</v>
      </c>
      <c r="D30" s="18"/>
      <c r="E30" s="18">
        <f>C30*D30</f>
        <v>0</v>
      </c>
      <c r="F30" s="18">
        <v>0.012</v>
      </c>
      <c r="G30" s="18"/>
      <c r="H30" s="18"/>
      <c r="I30" s="18"/>
      <c r="J30" s="18"/>
      <c r="K30" s="18"/>
      <c r="L30" s="18">
        <f>SUM(E30:K30)</f>
        <v>0.012</v>
      </c>
    </row>
    <row r="31" spans="1:12" ht="15.0" customHeight="1" x14ac:dyDescent="0.15">
      <c r="A31" s="18">
        <v>22.0</v>
      </c>
      <c r="B31" s="22">
        <f>'STUFFING REPORT'!B42</f>
        <v>0</v>
      </c>
      <c r="C31" s="18">
        <f>'STUFFING REPORT'!F42</f>
        <v>520</v>
      </c>
      <c r="D31" s="18"/>
      <c r="E31" s="18">
        <f>C31*D31</f>
        <v>0</v>
      </c>
      <c r="F31" s="18">
        <v>0.012</v>
      </c>
      <c r="G31" s="18"/>
      <c r="H31" s="18"/>
      <c r="I31" s="18"/>
      <c r="J31" s="18"/>
      <c r="K31" s="18"/>
      <c r="L31" s="18">
        <f>SUM(E31:K31)</f>
        <v>0.012</v>
      </c>
    </row>
    <row r="32" spans="1:12" ht="15.0" customHeight="1" x14ac:dyDescent="0.15">
      <c r="A32" s="18">
        <v>23.0</v>
      </c>
      <c r="B32" s="22">
        <f>'STUFFING REPORT'!B43</f>
        <v>0</v>
      </c>
      <c r="C32" s="18">
        <f>'STUFFING REPORT'!F43</f>
        <v>520</v>
      </c>
      <c r="D32" s="18"/>
      <c r="E32" s="18">
        <f>C32*D32</f>
        <v>0</v>
      </c>
      <c r="F32" s="18">
        <v>0.012</v>
      </c>
      <c r="G32" s="18"/>
      <c r="H32" s="18"/>
      <c r="I32" s="18"/>
      <c r="J32" s="18"/>
      <c r="K32" s="18"/>
      <c r="L32" s="18">
        <f>SUM(E32:K32)</f>
        <v>0.012</v>
      </c>
    </row>
    <row r="33" spans="1:12" ht="15.0" customHeight="1" x14ac:dyDescent="0.15">
      <c r="A33" s="18">
        <v>24.0</v>
      </c>
      <c r="B33" s="22">
        <f>'STUFFING REPORT'!B44</f>
        <v>0</v>
      </c>
      <c r="C33" s="18">
        <f>'STUFFING REPORT'!F44</f>
        <v>520</v>
      </c>
      <c r="D33" s="18"/>
      <c r="E33" s="18">
        <f>C33*D33</f>
        <v>0</v>
      </c>
      <c r="F33" s="18">
        <v>0.012</v>
      </c>
      <c r="G33" s="18"/>
      <c r="H33" s="18"/>
      <c r="I33" s="18"/>
      <c r="J33" s="18"/>
      <c r="K33" s="18"/>
      <c r="L33" s="18">
        <f>SUM(E33:K33)</f>
        <v>0.012</v>
      </c>
    </row>
    <row r="34" spans="1:12" ht="15.0" customHeight="1" x14ac:dyDescent="0.15">
      <c r="A34" s="18">
        <v>25.0</v>
      </c>
      <c r="B34" s="22">
        <f>'STUFFING REPORT'!B45</f>
        <v>0</v>
      </c>
      <c r="C34" s="18">
        <f>'STUFFING REPORT'!F45</f>
        <v>520</v>
      </c>
      <c r="D34" s="18"/>
      <c r="E34" s="18">
        <f>C34*D34</f>
        <v>0</v>
      </c>
      <c r="F34" s="18">
        <v>0.012</v>
      </c>
      <c r="G34" s="18"/>
      <c r="H34" s="18"/>
      <c r="I34" s="18"/>
      <c r="J34" s="18"/>
      <c r="K34" s="18"/>
      <c r="L34" s="18">
        <f>SUM(E34:K34)</f>
        <v>0.012</v>
      </c>
    </row>
    <row r="35" spans="1:12" ht="15.0" customHeight="1" x14ac:dyDescent="0.15">
      <c r="A35" s="18">
        <v>26.0</v>
      </c>
      <c r="B35" s="22">
        <f>'STUFFING REPORT'!B46</f>
        <v>0</v>
      </c>
      <c r="C35" s="18">
        <f>'STUFFING REPORT'!F46</f>
        <v>520</v>
      </c>
      <c r="D35" s="18"/>
      <c r="E35" s="18">
        <f>C35*D35</f>
        <v>0</v>
      </c>
      <c r="F35" s="18">
        <v>0.012</v>
      </c>
      <c r="G35" s="18"/>
      <c r="H35" s="18"/>
      <c r="I35" s="18"/>
      <c r="J35" s="18"/>
      <c r="K35" s="18"/>
      <c r="L35" s="18">
        <f>SUM(E35:K35)</f>
        <v>0.012</v>
      </c>
    </row>
    <row r="36" spans="1:12" ht="15.0" customHeight="1" x14ac:dyDescent="0.15">
      <c r="A36" s="18">
        <v>27.0</v>
      </c>
      <c r="B36" s="22">
        <f>'STUFFING REPORT'!B47</f>
        <v>0</v>
      </c>
      <c r="C36" s="18">
        <f>'STUFFING REPORT'!F47</f>
        <v>520</v>
      </c>
      <c r="D36" s="18"/>
      <c r="E36" s="18">
        <f>C36*D36</f>
        <v>0</v>
      </c>
      <c r="F36" s="18">
        <v>0.012</v>
      </c>
      <c r="G36" s="18"/>
      <c r="H36" s="18"/>
      <c r="I36" s="18"/>
      <c r="J36" s="18"/>
      <c r="K36" s="18"/>
      <c r="L36" s="18">
        <f>SUM(E36:K36)</f>
        <v>0.012</v>
      </c>
    </row>
    <row r="37" spans="1:12" ht="15.0" customHeight="1" x14ac:dyDescent="0.15">
      <c r="A37" s="18">
        <v>28.0</v>
      </c>
      <c r="B37" s="22">
        <f>'STUFFING REPORT'!B48</f>
        <v>0</v>
      </c>
      <c r="C37" s="18">
        <f>'STUFFING REPORT'!F48</f>
        <v>520</v>
      </c>
      <c r="D37" s="18"/>
      <c r="E37" s="18">
        <f>C37*D37</f>
        <v>0</v>
      </c>
      <c r="F37" s="18">
        <v>0.012</v>
      </c>
      <c r="G37" s="18"/>
      <c r="H37" s="18"/>
      <c r="I37" s="18"/>
      <c r="J37" s="18"/>
      <c r="K37" s="18"/>
      <c r="L37" s="18">
        <f>SUM(E37:K37)</f>
        <v>0.012</v>
      </c>
    </row>
    <row r="38" spans="1:12" ht="15.0" customHeight="1" x14ac:dyDescent="0.15">
      <c r="A38" s="18">
        <v>29.0</v>
      </c>
      <c r="B38" s="22">
        <f>'STUFFING REPORT'!B49</f>
        <v>0</v>
      </c>
      <c r="C38" s="18">
        <f>'STUFFING REPORT'!F49</f>
        <v>520</v>
      </c>
      <c r="D38" s="18"/>
      <c r="E38" s="18">
        <f>C38*D38</f>
        <v>0</v>
      </c>
      <c r="F38" s="18">
        <v>0.012</v>
      </c>
      <c r="G38" s="18"/>
      <c r="H38" s="18"/>
      <c r="I38" s="18"/>
      <c r="J38" s="18"/>
      <c r="K38" s="18"/>
      <c r="L38" s="18">
        <f>SUM(E38:K38)</f>
        <v>0.012</v>
      </c>
    </row>
    <row r="39" spans="1:12" ht="15.0" customHeight="1" x14ac:dyDescent="0.15">
      <c r="A39" s="18">
        <v>30.0</v>
      </c>
      <c r="B39" s="22">
        <f>'STUFFING REPORT'!B50</f>
        <v>0</v>
      </c>
      <c r="C39" s="18">
        <f>'STUFFING REPORT'!F50</f>
        <v>520</v>
      </c>
      <c r="D39" s="18"/>
      <c r="E39" s="18">
        <f>C39*D39</f>
        <v>0</v>
      </c>
      <c r="F39" s="18">
        <v>0.012</v>
      </c>
      <c r="G39" s="18"/>
      <c r="H39" s="18"/>
      <c r="I39" s="18"/>
      <c r="J39" s="18"/>
      <c r="K39" s="18"/>
      <c r="L39" s="18">
        <f>SUM(E39:K39)</f>
        <v>0.012</v>
      </c>
    </row>
  </sheetData>
  <mergeCells count="16">
    <mergeCell ref="L8:L9"/>
    <mergeCell ref="E8:E9"/>
    <mergeCell ref="B8:B9"/>
    <mergeCell ref="C8:C9"/>
    <mergeCell ref="D8:D9"/>
    <mergeCell ref="F8:J8"/>
    <mergeCell ref="B6:D6"/>
    <mergeCell ref="A2:L2"/>
    <mergeCell ref="B5:D5"/>
    <mergeCell ref="E5:H5"/>
    <mergeCell ref="I4:L4"/>
    <mergeCell ref="B4:D4"/>
    <mergeCell ref="E4:H4"/>
    <mergeCell ref="E6:H6"/>
    <mergeCell ref="K8:K9"/>
    <mergeCell ref="A8:A9"/>
  </mergeCells>
  <phoneticPr fontId="0" type="noConversion"/>
  <pageMargins left="0.7499062639521802" right="0.7499062639521802" top="0.9998749560258521" bottom="0.9998749560258521" header="0.0" footer="0.0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L38"/>
  <sheetViews>
    <sheetView zoomScale="66" zoomScaleNormal="66" topLeftCell="G1" workbookViewId="0">
      <selection activeCell="I6" activeCellId="0" sqref="I6:L6"/>
    </sheetView>
  </sheetViews>
  <sheetFormatPr defaultRowHeight="15.0" customHeight="1" defaultColWidth="13.0" x14ac:dyDescent="0.15"/>
  <cols>
    <col min="1" max="1" width="12.25" customWidth="1" style="1"/>
    <col min="2" max="2" width="19.0" customWidth="1" style="1"/>
    <col min="3" max="3" width="9.375" customWidth="1" style="1"/>
    <col min="4" max="6" width="8.75" customWidth="1" style="1"/>
    <col min="7" max="7" width="9.875" customWidth="1" style="1"/>
    <col min="8" max="9" width="8.75" customWidth="1" style="1"/>
    <col min="10" max="10" width="8.375" customWidth="1" style="1"/>
    <col min="11" max="11" width="9.875" customWidth="1" style="1"/>
    <col min="12" max="12" width="10.5" customWidth="1" style="1"/>
  </cols>
  <sheetData>
    <row r="2" spans="1:12" ht="21.0" x14ac:dyDescent="0.15">
      <c r="A2" s="63" t="s">
        <v>101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4" spans="1:12" x14ac:dyDescent="0.15">
      <c r="A4" s="23" t="s">
        <v>102</v>
      </c>
      <c r="B4" s="67">
        <f>'STUFFING REPORT'!E8</f>
        <v>0</v>
      </c>
      <c r="C4" s="68"/>
      <c r="D4" s="68"/>
      <c r="E4" s="68"/>
      <c r="F4" s="66"/>
      <c r="G4" s="65" t="s">
        <v>103</v>
      </c>
      <c r="H4" s="65"/>
      <c r="I4" s="67">
        <f>'STUFFING REPORT'!E5</f>
        <v>0</v>
      </c>
      <c r="J4" s="68"/>
      <c r="K4" s="68"/>
      <c r="L4" s="66"/>
    </row>
    <row r="5" spans="1:12" x14ac:dyDescent="0.15">
      <c r="A5" s="23" t="s">
        <v>104</v>
      </c>
      <c r="B5" s="67">
        <f>'STUFFING REPORT'!E10</f>
        <v>0</v>
      </c>
      <c r="C5" s="68"/>
      <c r="D5" s="68"/>
      <c r="E5" s="68"/>
      <c r="F5" s="66"/>
      <c r="G5" s="65" t="s">
        <v>105</v>
      </c>
      <c r="H5" s="65"/>
      <c r="I5" s="67">
        <f>'STUFFING REPORT'!E13</f>
        <v>0</v>
      </c>
      <c r="J5" s="68"/>
      <c r="K5" s="68"/>
      <c r="L5" s="66"/>
    </row>
    <row r="6" spans="1:12" x14ac:dyDescent="0.15">
      <c r="A6" s="23" t="s">
        <v>106</v>
      </c>
      <c r="B6" s="67">
        <f>'STUFFING REPORT'!E11</f>
        <v>0</v>
      </c>
      <c r="C6" s="68"/>
      <c r="D6" s="68"/>
      <c r="E6" s="68"/>
      <c r="F6" s="66"/>
      <c r="G6" s="67" t="s">
        <v>107</v>
      </c>
      <c r="H6" s="66"/>
      <c r="I6" s="80">
        <f>'STUFFING REPORT'!F6</f>
        <v>45784</v>
      </c>
      <c r="J6" s="149"/>
      <c r="K6" s="149"/>
      <c r="L6" s="148"/>
    </row>
    <row r="8" spans="1:12" ht="38.1" customHeight="1" x14ac:dyDescent="0.15">
      <c r="A8" s="20" t="s">
        <v>108</v>
      </c>
      <c r="B8" s="20" t="s">
        <v>93</v>
      </c>
      <c r="C8" s="21" t="s">
        <v>109</v>
      </c>
      <c r="D8" s="21" t="s">
        <v>110</v>
      </c>
      <c r="E8" s="21" t="s">
        <v>111</v>
      </c>
      <c r="F8" s="21" t="s">
        <v>112</v>
      </c>
      <c r="G8" s="21" t="s">
        <v>113</v>
      </c>
      <c r="H8" s="21" t="s">
        <v>114</v>
      </c>
      <c r="I8" s="20" t="s">
        <v>115</v>
      </c>
      <c r="J8" s="21" t="s">
        <v>116</v>
      </c>
      <c r="K8" s="21" t="s">
        <v>117</v>
      </c>
      <c r="L8" s="21" t="s">
        <v>118</v>
      </c>
    </row>
    <row r="9" spans="1:12" x14ac:dyDescent="0.15">
      <c r="A9" s="18">
        <v>1.0</v>
      </c>
      <c r="B9" s="22">
        <f>'STUFFING REPORT'!B21</f>
        <v>0</v>
      </c>
      <c r="C9" s="18" t="s">
        <v>21</v>
      </c>
      <c r="D9" s="18" t="s">
        <v>119</v>
      </c>
      <c r="E9" s="18" t="s">
        <v>21</v>
      </c>
      <c r="F9" s="18" t="s">
        <v>39</v>
      </c>
      <c r="G9" s="18" t="s">
        <v>39</v>
      </c>
      <c r="H9" s="18" t="s">
        <v>39</v>
      </c>
      <c r="I9" s="18"/>
      <c r="J9" s="18" t="s">
        <v>120</v>
      </c>
      <c r="K9" s="18" t="s">
        <v>121</v>
      </c>
      <c r="L9" s="18" t="s">
        <v>39</v>
      </c>
    </row>
    <row r="10" spans="1:12" x14ac:dyDescent="0.15">
      <c r="A10" s="18">
        <v>2.0</v>
      </c>
      <c r="B10" s="22">
        <f>'STUFFING REPORT'!B22</f>
        <v>0</v>
      </c>
      <c r="C10" s="18" t="s">
        <v>21</v>
      </c>
      <c r="D10" s="18" t="s">
        <v>119</v>
      </c>
      <c r="E10" s="18" t="s">
        <v>21</v>
      </c>
      <c r="F10" s="18" t="s">
        <v>39</v>
      </c>
      <c r="G10" s="18" t="s">
        <v>39</v>
      </c>
      <c r="H10" s="18" t="s">
        <v>39</v>
      </c>
      <c r="I10" s="18"/>
      <c r="J10" s="18" t="s">
        <v>120</v>
      </c>
      <c r="K10" s="18" t="s">
        <v>121</v>
      </c>
      <c r="L10" s="18" t="s">
        <v>39</v>
      </c>
    </row>
    <row r="11" spans="1:12" x14ac:dyDescent="0.15">
      <c r="A11" s="18">
        <v>3.0</v>
      </c>
      <c r="B11" s="22">
        <f>'STUFFING REPORT'!B23</f>
        <v>0</v>
      </c>
      <c r="C11" s="18" t="s">
        <v>21</v>
      </c>
      <c r="D11" s="18" t="s">
        <v>119</v>
      </c>
      <c r="E11" s="18" t="s">
        <v>21</v>
      </c>
      <c r="F11" s="18" t="s">
        <v>39</v>
      </c>
      <c r="G11" s="18" t="s">
        <v>39</v>
      </c>
      <c r="H11" s="18" t="s">
        <v>39</v>
      </c>
      <c r="I11" s="18"/>
      <c r="J11" s="18" t="s">
        <v>120</v>
      </c>
      <c r="K11" s="18" t="s">
        <v>121</v>
      </c>
      <c r="L11" s="18" t="s">
        <v>39</v>
      </c>
    </row>
    <row r="12" spans="1:12" x14ac:dyDescent="0.15">
      <c r="A12" s="18">
        <v>4.0</v>
      </c>
      <c r="B12" s="22">
        <f>'STUFFING REPORT'!B24</f>
        <v>0</v>
      </c>
      <c r="C12" s="18" t="s">
        <v>21</v>
      </c>
      <c r="D12" s="18" t="s">
        <v>119</v>
      </c>
      <c r="E12" s="18" t="s">
        <v>21</v>
      </c>
      <c r="F12" s="18" t="s">
        <v>39</v>
      </c>
      <c r="G12" s="18" t="s">
        <v>39</v>
      </c>
      <c r="H12" s="18" t="s">
        <v>39</v>
      </c>
      <c r="I12" s="18"/>
      <c r="J12" s="18" t="s">
        <v>120</v>
      </c>
      <c r="K12" s="18" t="s">
        <v>121</v>
      </c>
      <c r="L12" s="18" t="s">
        <v>39</v>
      </c>
    </row>
    <row r="13" spans="1:12" x14ac:dyDescent="0.15">
      <c r="A13" s="18">
        <v>5.0</v>
      </c>
      <c r="B13" s="16">
        <f>'STUFFING REPORT'!B25</f>
        <v>0</v>
      </c>
      <c r="C13" s="18" t="s">
        <v>21</v>
      </c>
      <c r="D13" s="18" t="s">
        <v>119</v>
      </c>
      <c r="E13" s="18" t="s">
        <v>21</v>
      </c>
      <c r="F13" s="18" t="s">
        <v>39</v>
      </c>
      <c r="G13" s="18" t="s">
        <v>39</v>
      </c>
      <c r="H13" s="18" t="s">
        <v>39</v>
      </c>
      <c r="I13" s="18"/>
      <c r="J13" s="18" t="s">
        <v>120</v>
      </c>
      <c r="K13" s="18" t="s">
        <v>121</v>
      </c>
      <c r="L13" s="18" t="s">
        <v>39</v>
      </c>
    </row>
    <row r="14" spans="1:12" x14ac:dyDescent="0.15">
      <c r="A14" s="18">
        <v>6.0</v>
      </c>
      <c r="B14" s="22">
        <f>'STUFFING REPORT'!B26</f>
        <v>0</v>
      </c>
      <c r="C14" s="18" t="s">
        <v>21</v>
      </c>
      <c r="D14" s="18" t="s">
        <v>119</v>
      </c>
      <c r="E14" s="18" t="s">
        <v>21</v>
      </c>
      <c r="F14" s="18" t="s">
        <v>39</v>
      </c>
      <c r="G14" s="18" t="s">
        <v>39</v>
      </c>
      <c r="H14" s="18" t="s">
        <v>39</v>
      </c>
      <c r="I14" s="18"/>
      <c r="J14" s="18" t="s">
        <v>120</v>
      </c>
      <c r="K14" s="18" t="s">
        <v>121</v>
      </c>
      <c r="L14" s="18" t="s">
        <v>39</v>
      </c>
    </row>
    <row r="15" spans="1:12" x14ac:dyDescent="0.15">
      <c r="A15" s="18">
        <v>7.0</v>
      </c>
      <c r="B15" s="16">
        <f>'STUFFING REPORT'!B27</f>
        <v>0</v>
      </c>
      <c r="C15" s="18" t="s">
        <v>21</v>
      </c>
      <c r="D15" s="18" t="s">
        <v>119</v>
      </c>
      <c r="E15" s="18" t="s">
        <v>21</v>
      </c>
      <c r="F15" s="18" t="s">
        <v>39</v>
      </c>
      <c r="G15" s="18" t="s">
        <v>39</v>
      </c>
      <c r="H15" s="18" t="s">
        <v>39</v>
      </c>
      <c r="I15" s="18"/>
      <c r="J15" s="18" t="s">
        <v>120</v>
      </c>
      <c r="K15" s="18" t="s">
        <v>121</v>
      </c>
      <c r="L15" s="18" t="s">
        <v>39</v>
      </c>
    </row>
    <row r="16" spans="1:12" x14ac:dyDescent="0.15">
      <c r="A16" s="18">
        <v>8.0</v>
      </c>
      <c r="B16" s="22">
        <f>'STUFFING REPORT'!B28</f>
        <v>0</v>
      </c>
      <c r="C16" s="18" t="s">
        <v>21</v>
      </c>
      <c r="D16" s="18" t="s">
        <v>119</v>
      </c>
      <c r="E16" s="18" t="s">
        <v>21</v>
      </c>
      <c r="F16" s="18" t="s">
        <v>39</v>
      </c>
      <c r="G16" s="18" t="s">
        <v>39</v>
      </c>
      <c r="H16" s="18" t="s">
        <v>39</v>
      </c>
      <c r="I16" s="18"/>
      <c r="J16" s="18" t="s">
        <v>120</v>
      </c>
      <c r="K16" s="18" t="s">
        <v>121</v>
      </c>
      <c r="L16" s="18" t="s">
        <v>39</v>
      </c>
    </row>
    <row r="17" spans="1:12" x14ac:dyDescent="0.15">
      <c r="A17" s="18">
        <v>9.0</v>
      </c>
      <c r="B17" s="16">
        <f>'STUFFING REPORT'!B29</f>
        <v>0</v>
      </c>
      <c r="C17" s="18" t="s">
        <v>21</v>
      </c>
      <c r="D17" s="18" t="s">
        <v>119</v>
      </c>
      <c r="E17" s="18" t="s">
        <v>21</v>
      </c>
      <c r="F17" s="18" t="s">
        <v>39</v>
      </c>
      <c r="G17" s="18" t="s">
        <v>39</v>
      </c>
      <c r="H17" s="18" t="s">
        <v>39</v>
      </c>
      <c r="I17" s="18"/>
      <c r="J17" s="18" t="s">
        <v>120</v>
      </c>
      <c r="K17" s="18" t="s">
        <v>121</v>
      </c>
      <c r="L17" s="18" t="s">
        <v>39</v>
      </c>
    </row>
    <row r="18" spans="1:12" x14ac:dyDescent="0.15">
      <c r="A18" s="18">
        <v>10.0</v>
      </c>
      <c r="B18" s="22">
        <f>'STUFFING REPORT'!B30</f>
        <v>0</v>
      </c>
      <c r="C18" s="18" t="s">
        <v>21</v>
      </c>
      <c r="D18" s="18" t="s">
        <v>119</v>
      </c>
      <c r="E18" s="18" t="s">
        <v>21</v>
      </c>
      <c r="F18" s="18" t="s">
        <v>39</v>
      </c>
      <c r="G18" s="18" t="s">
        <v>39</v>
      </c>
      <c r="H18" s="18" t="s">
        <v>39</v>
      </c>
      <c r="I18" s="18"/>
      <c r="J18" s="18" t="s">
        <v>120</v>
      </c>
      <c r="K18" s="18" t="s">
        <v>121</v>
      </c>
      <c r="L18" s="18" t="s">
        <v>39</v>
      </c>
    </row>
    <row r="19" spans="1:12" x14ac:dyDescent="0.15">
      <c r="A19" s="18">
        <v>11.0</v>
      </c>
      <c r="B19" s="22">
        <f>'STUFFING REPORT'!B31</f>
        <v>0</v>
      </c>
      <c r="C19" s="18" t="s">
        <v>21</v>
      </c>
      <c r="D19" s="18" t="s">
        <v>119</v>
      </c>
      <c r="E19" s="18" t="s">
        <v>21</v>
      </c>
      <c r="F19" s="18" t="s">
        <v>39</v>
      </c>
      <c r="G19" s="18" t="s">
        <v>39</v>
      </c>
      <c r="H19" s="18" t="s">
        <v>39</v>
      </c>
      <c r="I19" s="18"/>
      <c r="J19" s="18" t="s">
        <v>120</v>
      </c>
      <c r="K19" s="18" t="s">
        <v>121</v>
      </c>
      <c r="L19" s="18" t="s">
        <v>39</v>
      </c>
    </row>
    <row r="20" spans="1:12" x14ac:dyDescent="0.15">
      <c r="A20" s="18">
        <v>12.0</v>
      </c>
      <c r="B20" s="22">
        <f>'STUFFING REPORT'!B32</f>
        <v>0</v>
      </c>
      <c r="C20" s="18" t="s">
        <v>21</v>
      </c>
      <c r="D20" s="18" t="s">
        <v>119</v>
      </c>
      <c r="E20" s="18" t="s">
        <v>21</v>
      </c>
      <c r="F20" s="18" t="s">
        <v>39</v>
      </c>
      <c r="G20" s="18" t="s">
        <v>39</v>
      </c>
      <c r="H20" s="18" t="s">
        <v>39</v>
      </c>
      <c r="I20" s="18"/>
      <c r="J20" s="18" t="s">
        <v>120</v>
      </c>
      <c r="K20" s="18" t="s">
        <v>121</v>
      </c>
      <c r="L20" s="18" t="s">
        <v>39</v>
      </c>
    </row>
    <row r="21" spans="1:12" x14ac:dyDescent="0.15">
      <c r="A21" s="18">
        <v>13.0</v>
      </c>
      <c r="B21" s="22">
        <f>'STUFFING REPORT'!B33</f>
        <v>0</v>
      </c>
      <c r="C21" s="18" t="s">
        <v>21</v>
      </c>
      <c r="D21" s="18" t="s">
        <v>119</v>
      </c>
      <c r="E21" s="18" t="s">
        <v>21</v>
      </c>
      <c r="F21" s="18" t="s">
        <v>39</v>
      </c>
      <c r="G21" s="18" t="s">
        <v>39</v>
      </c>
      <c r="H21" s="18" t="s">
        <v>39</v>
      </c>
      <c r="I21" s="18"/>
      <c r="J21" s="18" t="s">
        <v>120</v>
      </c>
      <c r="K21" s="18" t="s">
        <v>121</v>
      </c>
      <c r="L21" s="18" t="s">
        <v>39</v>
      </c>
    </row>
    <row r="22" spans="1:12" x14ac:dyDescent="0.15">
      <c r="A22" s="18">
        <v>14.0</v>
      </c>
      <c r="B22" s="22">
        <f>'STUFFING REPORT'!B34</f>
        <v>0</v>
      </c>
      <c r="C22" s="18" t="s">
        <v>21</v>
      </c>
      <c r="D22" s="18" t="s">
        <v>119</v>
      </c>
      <c r="E22" s="18" t="s">
        <v>21</v>
      </c>
      <c r="F22" s="18" t="s">
        <v>39</v>
      </c>
      <c r="G22" s="18" t="s">
        <v>39</v>
      </c>
      <c r="H22" s="18" t="s">
        <v>39</v>
      </c>
      <c r="I22" s="18"/>
      <c r="J22" s="18" t="s">
        <v>120</v>
      </c>
      <c r="K22" s="18" t="s">
        <v>121</v>
      </c>
      <c r="L22" s="18" t="s">
        <v>39</v>
      </c>
    </row>
    <row r="23" spans="1:12" x14ac:dyDescent="0.15">
      <c r="A23" s="18">
        <v>15.0</v>
      </c>
      <c r="B23" s="22">
        <f>'STUFFING REPORT'!B35</f>
        <v>0</v>
      </c>
      <c r="C23" s="18" t="s">
        <v>21</v>
      </c>
      <c r="D23" s="18" t="s">
        <v>119</v>
      </c>
      <c r="E23" s="18" t="s">
        <v>21</v>
      </c>
      <c r="F23" s="18" t="s">
        <v>39</v>
      </c>
      <c r="G23" s="18" t="s">
        <v>39</v>
      </c>
      <c r="H23" s="18" t="s">
        <v>39</v>
      </c>
      <c r="I23" s="18"/>
      <c r="J23" s="18" t="s">
        <v>120</v>
      </c>
      <c r="K23" s="18" t="s">
        <v>121</v>
      </c>
      <c r="L23" s="18" t="s">
        <v>39</v>
      </c>
    </row>
    <row r="24" spans="1:12" x14ac:dyDescent="0.15">
      <c r="A24" s="18">
        <v>16.0</v>
      </c>
      <c r="B24" s="22">
        <f>'STUFFING REPORT'!B36</f>
        <v>0</v>
      </c>
      <c r="C24" s="18" t="s">
        <v>21</v>
      </c>
      <c r="D24" s="18" t="s">
        <v>119</v>
      </c>
      <c r="E24" s="18" t="s">
        <v>21</v>
      </c>
      <c r="F24" s="18" t="s">
        <v>39</v>
      </c>
      <c r="G24" s="18" t="s">
        <v>39</v>
      </c>
      <c r="H24" s="18" t="s">
        <v>39</v>
      </c>
      <c r="I24" s="18"/>
      <c r="J24" s="18" t="s">
        <v>120</v>
      </c>
      <c r="K24" s="18" t="s">
        <v>121</v>
      </c>
      <c r="L24" s="18" t="s">
        <v>39</v>
      </c>
    </row>
    <row r="25" spans="1:12" x14ac:dyDescent="0.15">
      <c r="A25" s="18">
        <v>17.0</v>
      </c>
      <c r="B25" s="22">
        <f>'STUFFING REPORT'!B37</f>
        <v>0</v>
      </c>
      <c r="C25" s="18" t="s">
        <v>21</v>
      </c>
      <c r="D25" s="18" t="s">
        <v>119</v>
      </c>
      <c r="E25" s="18" t="s">
        <v>21</v>
      </c>
      <c r="F25" s="18" t="s">
        <v>39</v>
      </c>
      <c r="G25" s="18" t="s">
        <v>39</v>
      </c>
      <c r="H25" s="18" t="s">
        <v>39</v>
      </c>
      <c r="I25" s="18"/>
      <c r="J25" s="18" t="s">
        <v>120</v>
      </c>
      <c r="K25" s="18" t="s">
        <v>121</v>
      </c>
      <c r="L25" s="18" t="s">
        <v>39</v>
      </c>
    </row>
    <row r="26" spans="1:12" x14ac:dyDescent="0.15">
      <c r="A26" s="18">
        <v>18.0</v>
      </c>
      <c r="B26" s="22">
        <f>'STUFFING REPORT'!B38</f>
        <v>0</v>
      </c>
      <c r="C26" s="18" t="s">
        <v>21</v>
      </c>
      <c r="D26" s="18" t="s">
        <v>119</v>
      </c>
      <c r="E26" s="18" t="s">
        <v>21</v>
      </c>
      <c r="F26" s="18" t="s">
        <v>39</v>
      </c>
      <c r="G26" s="18" t="s">
        <v>39</v>
      </c>
      <c r="H26" s="18" t="s">
        <v>39</v>
      </c>
      <c r="I26" s="18"/>
      <c r="J26" s="18" t="s">
        <v>120</v>
      </c>
      <c r="K26" s="18" t="s">
        <v>121</v>
      </c>
      <c r="L26" s="18" t="s">
        <v>39</v>
      </c>
    </row>
    <row r="27" spans="1:12" x14ac:dyDescent="0.15">
      <c r="A27" s="18">
        <v>19.0</v>
      </c>
      <c r="B27" s="22">
        <f>'STUFFING REPORT'!B39</f>
        <v>0</v>
      </c>
      <c r="C27" s="18" t="s">
        <v>21</v>
      </c>
      <c r="D27" s="18" t="s">
        <v>119</v>
      </c>
      <c r="E27" s="18" t="s">
        <v>21</v>
      </c>
      <c r="F27" s="18" t="s">
        <v>39</v>
      </c>
      <c r="G27" s="18" t="s">
        <v>39</v>
      </c>
      <c r="H27" s="18" t="s">
        <v>39</v>
      </c>
      <c r="I27" s="18"/>
      <c r="J27" s="18" t="s">
        <v>120</v>
      </c>
      <c r="K27" s="18" t="s">
        <v>121</v>
      </c>
      <c r="L27" s="18" t="s">
        <v>39</v>
      </c>
    </row>
    <row r="28" spans="1:12" x14ac:dyDescent="0.15">
      <c r="A28" s="18">
        <v>20.0</v>
      </c>
      <c r="B28" s="22">
        <f>'STUFFING REPORT'!B40</f>
        <v>0</v>
      </c>
      <c r="C28" s="18" t="s">
        <v>21</v>
      </c>
      <c r="D28" s="18" t="s">
        <v>119</v>
      </c>
      <c r="E28" s="18" t="s">
        <v>21</v>
      </c>
      <c r="F28" s="18" t="s">
        <v>39</v>
      </c>
      <c r="G28" s="18" t="s">
        <v>39</v>
      </c>
      <c r="H28" s="18" t="s">
        <v>39</v>
      </c>
      <c r="I28" s="18"/>
      <c r="J28" s="18" t="s">
        <v>120</v>
      </c>
      <c r="K28" s="18" t="s">
        <v>121</v>
      </c>
      <c r="L28" s="18" t="s">
        <v>39</v>
      </c>
    </row>
    <row r="29" spans="1:12" x14ac:dyDescent="0.15">
      <c r="A29" s="18">
        <v>21.0</v>
      </c>
      <c r="B29" s="22">
        <f>'STUFFING REPORT'!B41</f>
        <v>0</v>
      </c>
      <c r="C29" s="18" t="s">
        <v>21</v>
      </c>
      <c r="D29" s="18" t="s">
        <v>119</v>
      </c>
      <c r="E29" s="18" t="s">
        <v>21</v>
      </c>
      <c r="F29" s="18" t="s">
        <v>39</v>
      </c>
      <c r="G29" s="18" t="s">
        <v>39</v>
      </c>
      <c r="H29" s="18" t="s">
        <v>39</v>
      </c>
      <c r="I29" s="18"/>
      <c r="J29" s="18" t="s">
        <v>120</v>
      </c>
      <c r="K29" s="18" t="s">
        <v>121</v>
      </c>
      <c r="L29" s="18" t="s">
        <v>39</v>
      </c>
    </row>
    <row r="30" spans="1:12" x14ac:dyDescent="0.15">
      <c r="A30" s="18">
        <v>22.0</v>
      </c>
      <c r="B30" s="22">
        <f>'STUFFING REPORT'!B42</f>
        <v>0</v>
      </c>
      <c r="C30" s="18" t="s">
        <v>21</v>
      </c>
      <c r="D30" s="18" t="s">
        <v>119</v>
      </c>
      <c r="E30" s="18" t="s">
        <v>21</v>
      </c>
      <c r="F30" s="18" t="s">
        <v>39</v>
      </c>
      <c r="G30" s="18" t="s">
        <v>39</v>
      </c>
      <c r="H30" s="18" t="s">
        <v>39</v>
      </c>
      <c r="I30" s="18"/>
      <c r="J30" s="18" t="s">
        <v>120</v>
      </c>
      <c r="K30" s="18" t="s">
        <v>121</v>
      </c>
      <c r="L30" s="18" t="s">
        <v>39</v>
      </c>
    </row>
    <row r="31" spans="1:12" x14ac:dyDescent="0.15">
      <c r="A31" s="18">
        <v>23.0</v>
      </c>
      <c r="B31" s="22">
        <f>'STUFFING REPORT'!B43</f>
        <v>0</v>
      </c>
      <c r="C31" s="18" t="s">
        <v>21</v>
      </c>
      <c r="D31" s="18" t="s">
        <v>119</v>
      </c>
      <c r="E31" s="18" t="s">
        <v>21</v>
      </c>
      <c r="F31" s="18" t="s">
        <v>39</v>
      </c>
      <c r="G31" s="18" t="s">
        <v>39</v>
      </c>
      <c r="H31" s="18" t="s">
        <v>39</v>
      </c>
      <c r="I31" s="18"/>
      <c r="J31" s="18" t="s">
        <v>120</v>
      </c>
      <c r="K31" s="18" t="s">
        <v>121</v>
      </c>
      <c r="L31" s="18" t="s">
        <v>39</v>
      </c>
    </row>
    <row r="32" spans="1:12" x14ac:dyDescent="0.15">
      <c r="A32" s="18">
        <v>24.0</v>
      </c>
      <c r="B32" s="22">
        <f>'STUFFING REPORT'!B44</f>
        <v>0</v>
      </c>
      <c r="C32" s="18" t="s">
        <v>21</v>
      </c>
      <c r="D32" s="18" t="s">
        <v>119</v>
      </c>
      <c r="E32" s="18" t="s">
        <v>21</v>
      </c>
      <c r="F32" s="18" t="s">
        <v>39</v>
      </c>
      <c r="G32" s="18" t="s">
        <v>39</v>
      </c>
      <c r="H32" s="18" t="s">
        <v>39</v>
      </c>
      <c r="I32" s="18"/>
      <c r="J32" s="18" t="s">
        <v>120</v>
      </c>
      <c r="K32" s="18" t="s">
        <v>121</v>
      </c>
      <c r="L32" s="18" t="s">
        <v>39</v>
      </c>
    </row>
    <row r="33" spans="1:12" x14ac:dyDescent="0.15">
      <c r="A33" s="18">
        <v>25.0</v>
      </c>
      <c r="B33" s="22">
        <f>'STUFFING REPORT'!B45</f>
        <v>0</v>
      </c>
      <c r="C33" s="18" t="s">
        <v>21</v>
      </c>
      <c r="D33" s="18" t="s">
        <v>119</v>
      </c>
      <c r="E33" s="18" t="s">
        <v>21</v>
      </c>
      <c r="F33" s="18" t="s">
        <v>39</v>
      </c>
      <c r="G33" s="18" t="s">
        <v>39</v>
      </c>
      <c r="H33" s="18" t="s">
        <v>39</v>
      </c>
      <c r="I33" s="18"/>
      <c r="J33" s="18" t="s">
        <v>120</v>
      </c>
      <c r="K33" s="18" t="s">
        <v>121</v>
      </c>
      <c r="L33" s="18" t="s">
        <v>39</v>
      </c>
    </row>
    <row r="34" spans="1:12" x14ac:dyDescent="0.15">
      <c r="A34" s="18">
        <v>26.0</v>
      </c>
      <c r="B34" s="22">
        <f>'STUFFING REPORT'!B46</f>
        <v>0</v>
      </c>
      <c r="C34" s="18" t="s">
        <v>21</v>
      </c>
      <c r="D34" s="18" t="s">
        <v>119</v>
      </c>
      <c r="E34" s="18" t="s">
        <v>21</v>
      </c>
      <c r="F34" s="18" t="s">
        <v>39</v>
      </c>
      <c r="G34" s="18" t="s">
        <v>39</v>
      </c>
      <c r="H34" s="18" t="s">
        <v>39</v>
      </c>
      <c r="I34" s="18"/>
      <c r="J34" s="18" t="s">
        <v>120</v>
      </c>
      <c r="K34" s="18" t="s">
        <v>121</v>
      </c>
      <c r="L34" s="18" t="s">
        <v>39</v>
      </c>
    </row>
    <row r="35" spans="1:12" x14ac:dyDescent="0.15">
      <c r="A35" s="18">
        <v>27.0</v>
      </c>
      <c r="B35" s="22">
        <f>'STUFFING REPORT'!B47</f>
        <v>0</v>
      </c>
      <c r="C35" s="18" t="s">
        <v>21</v>
      </c>
      <c r="D35" s="18" t="s">
        <v>119</v>
      </c>
      <c r="E35" s="18" t="s">
        <v>21</v>
      </c>
      <c r="F35" s="18" t="s">
        <v>39</v>
      </c>
      <c r="G35" s="18" t="s">
        <v>39</v>
      </c>
      <c r="H35" s="18" t="s">
        <v>39</v>
      </c>
      <c r="I35" s="18"/>
      <c r="J35" s="18" t="s">
        <v>120</v>
      </c>
      <c r="K35" s="18" t="s">
        <v>121</v>
      </c>
      <c r="L35" s="18" t="s">
        <v>39</v>
      </c>
    </row>
    <row r="36" spans="1:12" x14ac:dyDescent="0.15">
      <c r="A36" s="18">
        <v>28.0</v>
      </c>
      <c r="B36" s="22">
        <f>'STUFFING REPORT'!B48</f>
        <v>0</v>
      </c>
      <c r="C36" s="18" t="s">
        <v>21</v>
      </c>
      <c r="D36" s="18" t="s">
        <v>119</v>
      </c>
      <c r="E36" s="18" t="s">
        <v>21</v>
      </c>
      <c r="F36" s="18" t="s">
        <v>39</v>
      </c>
      <c r="G36" s="18" t="s">
        <v>39</v>
      </c>
      <c r="H36" s="18" t="s">
        <v>39</v>
      </c>
      <c r="I36" s="18"/>
      <c r="J36" s="18" t="s">
        <v>120</v>
      </c>
      <c r="K36" s="18" t="s">
        <v>121</v>
      </c>
      <c r="L36" s="18" t="s">
        <v>39</v>
      </c>
    </row>
    <row r="37" spans="1:12" x14ac:dyDescent="0.15">
      <c r="A37" s="18">
        <v>29.0</v>
      </c>
      <c r="B37" s="22">
        <f>'STUFFING REPORT'!B49</f>
        <v>0</v>
      </c>
      <c r="C37" s="18" t="s">
        <v>21</v>
      </c>
      <c r="D37" s="18" t="s">
        <v>119</v>
      </c>
      <c r="E37" s="18" t="s">
        <v>21</v>
      </c>
      <c r="F37" s="18" t="s">
        <v>39</v>
      </c>
      <c r="G37" s="18" t="s">
        <v>39</v>
      </c>
      <c r="H37" s="18" t="s">
        <v>39</v>
      </c>
      <c r="I37" s="18"/>
      <c r="J37" s="18" t="s">
        <v>120</v>
      </c>
      <c r="K37" s="18" t="s">
        <v>121</v>
      </c>
      <c r="L37" s="18" t="s">
        <v>39</v>
      </c>
    </row>
    <row r="38" spans="1:12" x14ac:dyDescent="0.15">
      <c r="A38" s="18">
        <v>30.0</v>
      </c>
      <c r="B38" s="22">
        <f>'STUFFING REPORT'!B50</f>
        <v>0</v>
      </c>
      <c r="C38" s="18" t="s">
        <v>21</v>
      </c>
      <c r="D38" s="18" t="s">
        <v>119</v>
      </c>
      <c r="E38" s="18" t="s">
        <v>21</v>
      </c>
      <c r="F38" s="18" t="s">
        <v>39</v>
      </c>
      <c r="G38" s="18" t="s">
        <v>39</v>
      </c>
      <c r="H38" s="18" t="s">
        <v>39</v>
      </c>
      <c r="I38" s="18"/>
      <c r="J38" s="18" t="s">
        <v>120</v>
      </c>
      <c r="K38" s="18" t="s">
        <v>121</v>
      </c>
      <c r="L38" s="18" t="s">
        <v>39</v>
      </c>
    </row>
  </sheetData>
  <mergeCells count="10">
    <mergeCell ref="A2:L2"/>
    <mergeCell ref="B4:F4"/>
    <mergeCell ref="G6:H6"/>
    <mergeCell ref="I5:L5"/>
    <mergeCell ref="B6:F6"/>
    <mergeCell ref="I6:L6"/>
    <mergeCell ref="B5:F5"/>
    <mergeCell ref="I4:L4"/>
    <mergeCell ref="G5:H5"/>
    <mergeCell ref="G4:H4"/>
  </mergeCells>
  <phoneticPr fontId="0" type="noConversion"/>
  <pageMargins left="0.7499062639521802" right="0.7499062639521802" top="0.9998749560258521" bottom="0.9998749560258521" header="0.0" footer="0.0"/>
  <pageSetup paperSize="9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zinmin_tun</dc:creator>
  <cp:lastModifiedBy>Mobile phone user</cp:lastModifiedBy>
  <cp:revision>0</cp:revision>
  <dcterms:created xsi:type="dcterms:W3CDTF">2023-07-29T00:42:00Z</dcterms:created>
  <dcterms:modified xsi:type="dcterms:W3CDTF">2026-08-22T12:49:24Z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53713e6aa87a43f8863aac2e3ba87ba3</vt:lpwstr>
  </property>
  <property fmtid="{D5CDD505-2E9C-101B-9397-08002B2CF9AE}" pid="3" name="KSOProductBuildVer">
    <vt:lpwstr>1033-12.2.0.18586</vt:lpwstr>
  </property>
</Properties>
</file>